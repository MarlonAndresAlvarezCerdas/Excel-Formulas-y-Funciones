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Marlon PC\Estudios\MICITT Analisis de datos\"/>
    </mc:Choice>
  </mc:AlternateContent>
  <xr:revisionPtr revIDLastSave="0" documentId="13_ncr:40009_{6C8C7AE3-520E-4C78-96EF-2976DBDB9DF4}" xr6:coauthVersionLast="47" xr6:coauthVersionMax="47" xr10:uidLastSave="{00000000-0000-0000-0000-000000000000}"/>
  <bookViews>
    <workbookView xWindow="-120" yWindow="-120" windowWidth="20730" windowHeight="11040" activeTab="3"/>
  </bookViews>
  <sheets>
    <sheet name="Basse" sheetId="5" r:id="rId1"/>
    <sheet name="Concatenar" sheetId="1" r:id="rId2"/>
    <sheet name="IZQ DER EXT" sheetId="6" r:id="rId3"/>
    <sheet name="Contar" sheetId="7" r:id="rId4"/>
  </sheets>
  <definedNames>
    <definedName name="_xlnm._FilterDatabase" localSheetId="2" hidden="1">'IZQ DER EXT'!$A$1:$Y$89</definedName>
  </definedNames>
  <calcPr calcId="0"/>
</workbook>
</file>

<file path=xl/calcChain.xml><?xml version="1.0" encoding="utf-8"?>
<calcChain xmlns="http://schemas.openxmlformats.org/spreadsheetml/2006/main">
  <c r="E2" i="7" l="1"/>
  <c r="G2" i="7"/>
  <c r="I2" i="7"/>
  <c r="K2" i="7"/>
  <c r="M2" i="7"/>
  <c r="M1" i="7"/>
  <c r="R2" i="7"/>
  <c r="R1" i="7"/>
  <c r="O2" i="7"/>
  <c r="O1" i="7"/>
  <c r="N79" i="6"/>
  <c r="N59" i="6"/>
  <c r="N54" i="6"/>
  <c r="N48" i="6"/>
  <c r="N38" i="6"/>
  <c r="N35" i="6"/>
  <c r="N33" i="6"/>
  <c r="N18" i="6"/>
  <c r="N14" i="6"/>
  <c r="N9" i="6"/>
  <c r="N5" i="6"/>
  <c r="N4" i="6"/>
  <c r="O79" i="6"/>
  <c r="O59" i="6"/>
  <c r="O54" i="6"/>
  <c r="O48" i="6"/>
  <c r="O38" i="6"/>
  <c r="O35" i="6"/>
  <c r="O33" i="6"/>
  <c r="O18" i="6"/>
  <c r="O14" i="6"/>
  <c r="O9" i="6"/>
  <c r="O5" i="6"/>
  <c r="O4" i="6"/>
  <c r="P89" i="6"/>
  <c r="O89" i="6"/>
  <c r="N89" i="6"/>
  <c r="P88" i="6"/>
  <c r="O88" i="6"/>
  <c r="N88" i="6"/>
  <c r="P87" i="6"/>
  <c r="O87" i="6"/>
  <c r="N87" i="6"/>
  <c r="P86" i="6"/>
  <c r="O86" i="6"/>
  <c r="N86" i="6"/>
  <c r="P85" i="6"/>
  <c r="O85" i="6"/>
  <c r="N85" i="6"/>
  <c r="P84" i="6"/>
  <c r="O84" i="6"/>
  <c r="N84" i="6"/>
  <c r="P83" i="6"/>
  <c r="O83" i="6"/>
  <c r="N83" i="6"/>
  <c r="P82" i="6"/>
  <c r="O82" i="6"/>
  <c r="N82" i="6"/>
  <c r="P81" i="6"/>
  <c r="O81" i="6"/>
  <c r="N81" i="6"/>
  <c r="P80" i="6"/>
  <c r="O80" i="6"/>
  <c r="N80" i="6"/>
  <c r="P79" i="6"/>
  <c r="P78" i="6"/>
  <c r="O78" i="6"/>
  <c r="N78" i="6"/>
  <c r="P77" i="6"/>
  <c r="O77" i="6"/>
  <c r="N77" i="6"/>
  <c r="P76" i="6"/>
  <c r="O76" i="6"/>
  <c r="N76" i="6"/>
  <c r="P75" i="6"/>
  <c r="O75" i="6"/>
  <c r="N75" i="6"/>
  <c r="P74" i="6"/>
  <c r="O74" i="6"/>
  <c r="N74" i="6"/>
  <c r="P73" i="6"/>
  <c r="O73" i="6"/>
  <c r="N73" i="6"/>
  <c r="P72" i="6"/>
  <c r="O72" i="6"/>
  <c r="N72" i="6"/>
  <c r="P71" i="6"/>
  <c r="O71" i="6"/>
  <c r="N71" i="6"/>
  <c r="P70" i="6"/>
  <c r="O70" i="6"/>
  <c r="N70" i="6"/>
  <c r="P69" i="6"/>
  <c r="O69" i="6"/>
  <c r="N69" i="6"/>
  <c r="P68" i="6"/>
  <c r="O68" i="6"/>
  <c r="N68" i="6"/>
  <c r="P67" i="6"/>
  <c r="O67" i="6"/>
  <c r="N67" i="6"/>
  <c r="P66" i="6"/>
  <c r="O66" i="6"/>
  <c r="N66" i="6"/>
  <c r="P65" i="6"/>
  <c r="O65" i="6"/>
  <c r="N65" i="6"/>
  <c r="P64" i="6"/>
  <c r="O64" i="6"/>
  <c r="N64" i="6"/>
  <c r="P63" i="6"/>
  <c r="O63" i="6"/>
  <c r="N63" i="6"/>
  <c r="P62" i="6"/>
  <c r="O62" i="6"/>
  <c r="N62" i="6"/>
  <c r="P61" i="6"/>
  <c r="O61" i="6"/>
  <c r="N61" i="6"/>
  <c r="P60" i="6"/>
  <c r="O60" i="6"/>
  <c r="N60" i="6"/>
  <c r="P59" i="6"/>
  <c r="P58" i="6"/>
  <c r="O58" i="6"/>
  <c r="N58" i="6"/>
  <c r="P57" i="6"/>
  <c r="O57" i="6"/>
  <c r="N57" i="6"/>
  <c r="P56" i="6"/>
  <c r="O56" i="6"/>
  <c r="N56" i="6"/>
  <c r="P55" i="6"/>
  <c r="O55" i="6"/>
  <c r="N55" i="6"/>
  <c r="P54" i="6"/>
  <c r="P53" i="6"/>
  <c r="O53" i="6"/>
  <c r="N53" i="6"/>
  <c r="P52" i="6"/>
  <c r="O52" i="6"/>
  <c r="N52" i="6"/>
  <c r="P51" i="6"/>
  <c r="O51" i="6"/>
  <c r="N51" i="6"/>
  <c r="P50" i="6"/>
  <c r="O50" i="6"/>
  <c r="N50" i="6"/>
  <c r="P49" i="6"/>
  <c r="O49" i="6"/>
  <c r="N49" i="6"/>
  <c r="P48" i="6"/>
  <c r="P47" i="6"/>
  <c r="O47" i="6"/>
  <c r="N47" i="6"/>
  <c r="P46" i="6"/>
  <c r="O46" i="6"/>
  <c r="N46" i="6"/>
  <c r="P45" i="6"/>
  <c r="O45" i="6"/>
  <c r="N45" i="6"/>
  <c r="P44" i="6"/>
  <c r="O44" i="6"/>
  <c r="N44" i="6"/>
  <c r="P43" i="6"/>
  <c r="O43" i="6"/>
  <c r="N43" i="6"/>
  <c r="P42" i="6"/>
  <c r="O42" i="6"/>
  <c r="N42" i="6"/>
  <c r="P41" i="6"/>
  <c r="O41" i="6"/>
  <c r="N41" i="6"/>
  <c r="P40" i="6"/>
  <c r="O40" i="6"/>
  <c r="N40" i="6"/>
  <c r="P39" i="6"/>
  <c r="O39" i="6"/>
  <c r="N39" i="6"/>
  <c r="P38" i="6"/>
  <c r="P37" i="6"/>
  <c r="O37" i="6"/>
  <c r="N37" i="6"/>
  <c r="P36" i="6"/>
  <c r="O36" i="6"/>
  <c r="N36" i="6"/>
  <c r="P35" i="6"/>
  <c r="P34" i="6"/>
  <c r="O34" i="6"/>
  <c r="N34" i="6"/>
  <c r="P33" i="6"/>
  <c r="P32" i="6"/>
  <c r="O32" i="6"/>
  <c r="N32" i="6"/>
  <c r="P31" i="6"/>
  <c r="O31" i="6"/>
  <c r="N31" i="6"/>
  <c r="P30" i="6"/>
  <c r="O30" i="6"/>
  <c r="N30" i="6"/>
  <c r="P29" i="6"/>
  <c r="O29" i="6"/>
  <c r="N29" i="6"/>
  <c r="P28" i="6"/>
  <c r="O28" i="6"/>
  <c r="N28" i="6"/>
  <c r="P27" i="6"/>
  <c r="O27" i="6"/>
  <c r="N27" i="6"/>
  <c r="P26" i="6"/>
  <c r="O26" i="6"/>
  <c r="N26" i="6"/>
  <c r="P25" i="6"/>
  <c r="O25" i="6"/>
  <c r="N25" i="6"/>
  <c r="P24" i="6"/>
  <c r="O24" i="6"/>
  <c r="N24" i="6"/>
  <c r="P23" i="6"/>
  <c r="O23" i="6"/>
  <c r="N23" i="6"/>
  <c r="P22" i="6"/>
  <c r="O22" i="6"/>
  <c r="N22" i="6"/>
  <c r="P21" i="6"/>
  <c r="O21" i="6"/>
  <c r="N21" i="6"/>
  <c r="P20" i="6"/>
  <c r="O20" i="6"/>
  <c r="N20" i="6"/>
  <c r="P19" i="6"/>
  <c r="O19" i="6"/>
  <c r="N19" i="6"/>
  <c r="P18" i="6"/>
  <c r="P17" i="6"/>
  <c r="O17" i="6"/>
  <c r="N17" i="6"/>
  <c r="P16" i="6"/>
  <c r="O16" i="6"/>
  <c r="N16" i="6"/>
  <c r="P15" i="6"/>
  <c r="O15" i="6"/>
  <c r="N15" i="6"/>
  <c r="P14" i="6"/>
  <c r="P13" i="6"/>
  <c r="O13" i="6"/>
  <c r="N13" i="6"/>
  <c r="P12" i="6"/>
  <c r="O12" i="6"/>
  <c r="N12" i="6"/>
  <c r="P11" i="6"/>
  <c r="O11" i="6"/>
  <c r="N11" i="6"/>
  <c r="P10" i="6"/>
  <c r="O10" i="6"/>
  <c r="N10" i="6"/>
  <c r="P9" i="6"/>
  <c r="P8" i="6"/>
  <c r="O8" i="6"/>
  <c r="N8" i="6"/>
  <c r="P7" i="6"/>
  <c r="O7" i="6"/>
  <c r="N7" i="6"/>
  <c r="P6" i="6"/>
  <c r="O6" i="6"/>
  <c r="N6" i="6"/>
  <c r="P5" i="6"/>
  <c r="P4" i="6"/>
  <c r="P3" i="6"/>
  <c r="O3" i="6"/>
  <c r="N3" i="6"/>
  <c r="P2" i="6"/>
  <c r="O2" i="6"/>
  <c r="N2" i="6"/>
  <c r="U2" i="1"/>
  <c r="V2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W2" i="1"/>
</calcChain>
</file>

<file path=xl/connections.xml><?xml version="1.0" encoding="utf-8"?>
<connections xmlns="http://schemas.openxmlformats.org/spreadsheetml/2006/main">
  <connection id="1" keepAlive="1" name="Consulta - Bike_Sales_Functions_Lab (4)" description="Conexión a la consulta 'Bike_Sales_Functions_Lab (4)' en el libro." type="5" refreshedVersion="0" background="1">
    <dbPr connection="Provider=Microsoft.Mashup.OleDb.1;Data Source=$Workbook$;Location=&quot;Bike_Sales_Functions_Lab (4)&quot;;Extended Properties=&quot;&quot;" command="SELECT * FROM [Bike_Sales_Functions_Lab (4)]"/>
  </connection>
</connections>
</file>

<file path=xl/sharedStrings.xml><?xml version="1.0" encoding="utf-8"?>
<sst xmlns="http://schemas.openxmlformats.org/spreadsheetml/2006/main" count="3542" uniqueCount="266">
  <si>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</si>
  <si>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</si>
  <si>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</si>
  <si>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</si>
  <si>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</si>
  <si>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</si>
  <si>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</si>
  <si>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</si>
  <si>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</si>
  <si>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</si>
  <si>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</si>
  <si>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</si>
  <si>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</si>
  <si>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</si>
  <si>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</si>
  <si>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</si>
  <si>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</si>
  <si>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</si>
  <si>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</si>
  <si>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</si>
  <si>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</si>
  <si>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</si>
  <si>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</si>
  <si>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</si>
  <si>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</si>
  <si>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</si>
  <si>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</si>
  <si>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</si>
  <si>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</si>
  <si>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</si>
  <si>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</si>
  <si>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</si>
  <si>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</si>
  <si>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</si>
  <si>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</si>
  <si>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</si>
  <si>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</si>
  <si>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</si>
  <si>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</si>
  <si>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</si>
  <si>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</si>
  <si>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</si>
  <si>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</si>
  <si>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</si>
  <si>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</si>
  <si>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</si>
  <si>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</si>
  <si>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</si>
  <si>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</si>
  <si>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</si>
  <si>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</si>
  <si>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</si>
  <si>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</si>
  <si>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</si>
  <si>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</si>
  <si>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</si>
  <si>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</si>
  <si>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</si>
  <si>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</si>
  <si>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</si>
  <si>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</si>
  <si>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</si>
  <si>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</si>
  <si>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</si>
  <si>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</si>
  <si>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</si>
  <si>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</si>
  <si>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</si>
  <si>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</si>
  <si>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</si>
  <si>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</si>
  <si>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</si>
  <si>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</si>
  <si>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</si>
  <si>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</si>
  <si>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</si>
  <si>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</si>
  <si>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</si>
  <si>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</si>
  <si>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</si>
  <si>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</si>
  <si>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</si>
  <si>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</si>
  <si>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</si>
  <si>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</si>
  <si>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</si>
  <si>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</si>
  <si>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</si>
  <si>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</si>
  <si>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</si>
  <si>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</si>
  <si>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</si>
  <si>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</si>
  <si>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</si>
  <si>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</si>
  <si>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</si>
  <si>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</si>
  <si>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</si>
  <si>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</si>
  <si>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</si>
  <si>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</si>
  <si>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</si>
  <si>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</si>
  <si>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</si>
  <si>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</si>
  <si>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</si>
  <si>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</si>
  <si>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</si>
  <si>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</si>
  <si>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</si>
  <si>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</si>
  <si>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</si>
  <si>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</si>
  <si>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</si>
  <si>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</si>
  <si>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</si>
  <si>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</si>
  <si>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</si>
  <si>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</si>
  <si>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</si>
  <si>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</si>
  <si>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</si>
  <si>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</si>
  <si>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</si>
  <si>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</si>
  <si>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</si>
  <si>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</si>
  <si>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</si>
  <si>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</si>
  <si>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</si>
  <si>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</si>
  <si>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</si>
  <si>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</si>
  <si>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</si>
  <si>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</si>
  <si>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</si>
  <si>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</si>
  <si>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</si>
  <si>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</si>
  <si>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</si>
  <si>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</si>
  <si>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</si>
  <si>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</si>
  <si>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</si>
  <si>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</si>
  <si>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</si>
  <si>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</si>
  <si>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</si>
  <si>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</si>
  <si>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</si>
  <si>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</si>
  <si>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</si>
  <si>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</si>
  <si>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</si>
  <si>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</si>
  <si>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</si>
  <si>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ID</t>
  </si>
  <si>
    <t>000261695:4 Mountain Bikes-12/01/2021</t>
  </si>
  <si>
    <t>000261696:1 Mountain Bikes-12/01/2021</t>
  </si>
  <si>
    <t>000261697:2 Mountain Bikes-12/02/2021</t>
  </si>
  <si>
    <t>000261698:1 Mountain Bikes-12/02/2021</t>
  </si>
  <si>
    <t>000261699:2 Mountain Bikes-12/03/2021</t>
  </si>
  <si>
    <t>000261700:1 Mountain Bikes-12/03/2021</t>
  </si>
  <si>
    <t>000261701:1 Mountain Bikes-12/03/2021</t>
  </si>
  <si>
    <t>000261702:4 Mountain Bikes-12/04/2021</t>
  </si>
  <si>
    <t>000261703:4 Mountain Bikes-12/05/2021</t>
  </si>
  <si>
    <t>000261704:4 Mountain Bikes-12/05/2021</t>
  </si>
  <si>
    <t>000261705:1 Mountain Bikes-12/05/2021</t>
  </si>
  <si>
    <t>000261706:1 Mountain Bikes-12/05/2021</t>
  </si>
  <si>
    <t>000261707:3 Mountain Bikes-12/06/2021</t>
  </si>
  <si>
    <t>000261708:1 Mountain Bikes-12/06/2021</t>
  </si>
  <si>
    <t>000261709:1 Mountain Bikes-12/06/2021</t>
  </si>
  <si>
    <t>000261710:1 Mountain Bikes-12/06/2021</t>
  </si>
  <si>
    <t>000261711:4 Mountain Bikes-12/07/2021</t>
  </si>
  <si>
    <t>000261712:2 Mountain Bikes-12/07/2021</t>
  </si>
  <si>
    <t>000261713:4 Mountain Bikes-12/08/2021</t>
  </si>
  <si>
    <t>000261714:4 Mountain Bikes-12/08/2021</t>
  </si>
  <si>
    <t>000261715:2 Mountain Bikes-12/08/2021</t>
  </si>
  <si>
    <t>000261716:1 Mountain Bikes-12/08/2021</t>
  </si>
  <si>
    <t>000261717:2 Mountain Bikes-12/09/2021</t>
  </si>
  <si>
    <t>000261718:1 Mountain Bikes-12/09/2021</t>
  </si>
  <si>
    <t>000261719:2 Mountain Bikes-12/10/2021</t>
  </si>
  <si>
    <t>000261720:2 Mountain Bikes-12/10/2021</t>
  </si>
  <si>
    <t>000261721:1 Mountain Bikes-12/10/2021</t>
  </si>
  <si>
    <t>000261722:1 Mountain Bikes-12/10/2021</t>
  </si>
  <si>
    <t>000261723:1 Mountain Bikes-12/10/2021</t>
  </si>
  <si>
    <t>000261724:1 Mountain Bikes-12/10/2021</t>
  </si>
  <si>
    <t>000261725:3 Mountain Bikes-12/11/2021</t>
  </si>
  <si>
    <t>000261726:2 Mountain Bikes-12/11/2021</t>
  </si>
  <si>
    <t>000261727:1 Mountain Bikes-12/11/2021</t>
  </si>
  <si>
    <t>000261728:1 Mountain Bikes-12/11/2021</t>
  </si>
  <si>
    <t>000261729:1 Mountain Bikes-12/11/2021</t>
  </si>
  <si>
    <t>000261730:4 Mountain Bikes-12/12/2021</t>
  </si>
  <si>
    <t>000261731:4 Mountain Bikes-12/12/2021</t>
  </si>
  <si>
    <t>000261732:2 Mountain Bikes-12/12/2021</t>
  </si>
  <si>
    <t>000261733:1 Mountain Bikes-12/12/2021</t>
  </si>
  <si>
    <t>000261734:1 Mountain Bikes-12/12/2021</t>
  </si>
  <si>
    <t>000261735:3 Mountain Bikes-12/13/2021</t>
  </si>
  <si>
    <t>000261736:1 Mountain Bikes-12/13/2021</t>
  </si>
  <si>
    <t>000261737:1 Mountain Bikes-12/13/2021</t>
  </si>
  <si>
    <t>000261738:1 Mountain Bikes-12/13/2021</t>
  </si>
  <si>
    <t>000261739:2 Mountain Bikes-12/14/2021</t>
  </si>
  <si>
    <t>000261740:1 Mountain Bikes-12/14/2021</t>
  </si>
  <si>
    <t>000261741:1 Mountain Bikes-12/14/2021</t>
  </si>
  <si>
    <t>000261742:1 Mountain Bikes-12/15/2021</t>
  </si>
  <si>
    <t>000261743:2 Mountain Bikes-12/16/2021</t>
  </si>
  <si>
    <t>000261744:2 Mountain Bikes-12/16/2021</t>
  </si>
  <si>
    <t>000261745:1 Mountain Bikes-12/16/2021</t>
  </si>
  <si>
    <t>000261746:2 Mountain Bikes-12/17/2021</t>
  </si>
  <si>
    <t>000261747:1 Mountain Bikes-12/17/2021</t>
  </si>
  <si>
    <t>000261748:1 Mountain Bikes-12/17/2021</t>
  </si>
  <si>
    <t>000261749:4 Mountain Bikes-12/18/2021</t>
  </si>
  <si>
    <t>000261750:4 Mountain Bikes-12/18/2021</t>
  </si>
  <si>
    <t>000261751:3 Mountain Bikes-12/18/2021</t>
  </si>
  <si>
    <t>000261752:3 Mountain Bikes-12/18/2021</t>
  </si>
  <si>
    <t>000261753:3 Mountain Bikes-12/18/2021</t>
  </si>
  <si>
    <t>000261754:1 Mountain Bikes-12/18/2021</t>
  </si>
  <si>
    <t>000261755:1 Mountain Bikes-12/18/2021</t>
  </si>
  <si>
    <t>000261756:4 Mountain Bikes-12/19/2021</t>
  </si>
  <si>
    <t>000261757:4 Mountain Bikes-12/19/2021</t>
  </si>
  <si>
    <t>000261758:4 Mountain Bikes-12/19/2021</t>
  </si>
  <si>
    <t>000261759:4 Mountain Bikes-12/19/2021</t>
  </si>
  <si>
    <t>000261760:4 Mountain Bikes-12/19/2021</t>
  </si>
  <si>
    <t>000261761:4 Mountain Bikes-12/19/2021</t>
  </si>
  <si>
    <t>000261762:4 Mountain Bikes-12/19/2021</t>
  </si>
  <si>
    <t>000261763:2 Mountain Bikes-12/19/2021</t>
  </si>
  <si>
    <t>000261764:2 Mountain Bikes-12/19/2021</t>
  </si>
  <si>
    <t>000261765:1 Mountain Bikes-12/19/2021</t>
  </si>
  <si>
    <t>000261766:4 Mountain Bikes-12/20/2021</t>
  </si>
  <si>
    <t>000261767:4 Mountain Bikes-12/20/2021</t>
  </si>
  <si>
    <t>000261768:3 Mountain Bikes-12/20/2021</t>
  </si>
  <si>
    <t>000261769:1 Mountain Bikes-12/20/2021</t>
  </si>
  <si>
    <t>000261770:1 Mountain Bikes-12/20/2021</t>
  </si>
  <si>
    <t>000261771:3 Mountain Bikes-12/21/2021</t>
  </si>
  <si>
    <t>000261772:2 Mountain Bikes-12/21/2021</t>
  </si>
  <si>
    <t>000261773:3 Mountain Bikes-12/22/2021</t>
  </si>
  <si>
    <t>000261774:3 Mountain Bikes-12/22/2021</t>
  </si>
  <si>
    <t>000261775:1 Mountain Bikes-12/22/2021</t>
  </si>
  <si>
    <t>000261776:1 Mountain Bikes-12/22/2021</t>
  </si>
  <si>
    <t>000261777:1 Mountain Bikes-12/22/2021</t>
  </si>
  <si>
    <t>000261778:1 Mountain Bikes-12/22/2021</t>
  </si>
  <si>
    <t>000261779:1 Mountain Bikes-12/23/2021</t>
  </si>
  <si>
    <t>000261780:1 Mountain Bikes-12/23/2021</t>
  </si>
  <si>
    <t>000261781:1 Mountain Bikes-12/23/2021</t>
  </si>
  <si>
    <t>000261782:4 Mountain Bikes-12/24/2021</t>
  </si>
  <si>
    <t>TXT Valores</t>
  </si>
  <si>
    <t>ID 2</t>
  </si>
  <si>
    <t>Modelo</t>
  </si>
  <si>
    <t xml:space="preserve">Color </t>
  </si>
  <si>
    <t>Tamaño</t>
  </si>
  <si>
    <t>Mountain-200</t>
  </si>
  <si>
    <t>Black</t>
  </si>
  <si>
    <t>Silve</t>
  </si>
  <si>
    <t>Mountain-500</t>
  </si>
  <si>
    <t>Mountain-100</t>
  </si>
  <si>
    <t>Mountain-400-W</t>
  </si>
  <si>
    <t>Silver</t>
  </si>
  <si>
    <t>Cuenta</t>
  </si>
  <si>
    <t>4</t>
  </si>
  <si>
    <t>Contara</t>
  </si>
  <si>
    <t>1</t>
  </si>
  <si>
    <t>Contar.blanco</t>
  </si>
  <si>
    <t>Contar.si</t>
  </si>
  <si>
    <t>Promedio.si</t>
  </si>
  <si>
    <t>Minimo si conjunto</t>
  </si>
  <si>
    <t>maximo si conjunto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</si>
</sst>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" fontId="0" fillId="0" borderId="0" xfId="1" applyNumberFormat="1" applyFont="1"/>
    <xf numFmtId="0" fontId="0" fillId="34" borderId="0" xfId="0" applyFill="1"/>
    <xf numFmtId="49" fontId="0" fillId="34" borderId="0" xfId="0" applyNumberFormat="1" applyFill="1"/>
    <xf numFmtId="0" fontId="0" fillId="35" borderId="0" xfId="0" applyFill="1"/>
    <xf numFmtId="0" fontId="0" fillId="36" borderId="0" xfId="0" applyFill="1"/>
    <xf numFmtId="44" fontId="0" fillId="36" borderId="0" xfId="2" applyFont="1" applyFill="1"/>
    <xf numFmtId="8" fontId="0" fillId="36" borderId="0" xfId="0" applyNumberFormat="1" applyFill="1"/>
    <xf numFmtId="0" fontId="0" fillId="37" borderId="0" xfId="0" applyFill="1"/>
    <xf numFmtId="44" fontId="0" fillId="37" borderId="0" xfId="2" applyFont="1" applyFill="1"/>
    <xf numFmtId="8" fontId="0" fillId="37" borderId="0" xfId="0" applyNumberFormat="1" applyFill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Moneda" xfId="2" builtinId="4"/>
    <cellStyle name="Neutral" xfId="10" builtinId="28" customBuiltin="1"/>
    <cellStyle name="Normal" xfId="0" builtinId="0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topLeftCell="L1" workbookViewId="0">
      <selection activeCell="U2" sqref="U2"/>
    </sheetView>
  </sheetViews>
  <sheetFormatPr baseColWidth="10" defaultRowHeight="15" x14ac:dyDescent="0.25"/>
  <sheetData>
    <row r="1" spans="1:1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s="2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s="3">
        <v>1252</v>
      </c>
      <c r="P2" s="3">
        <v>2295</v>
      </c>
      <c r="Q2" s="3">
        <v>4172</v>
      </c>
      <c r="R2" s="3">
        <v>5008</v>
      </c>
      <c r="S2" s="3">
        <v>9180</v>
      </c>
    </row>
    <row r="3" spans="1:19" x14ac:dyDescent="0.25">
      <c r="A3" s="1" t="s">
        <v>28</v>
      </c>
      <c r="B3" s="2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t="s">
        <v>32</v>
      </c>
      <c r="N3">
        <v>1</v>
      </c>
      <c r="O3" s="3">
        <v>1266</v>
      </c>
      <c r="P3" s="3">
        <v>2320</v>
      </c>
      <c r="Q3" s="3">
        <v>1054</v>
      </c>
      <c r="R3" s="3">
        <v>1266</v>
      </c>
      <c r="S3" s="3">
        <v>2320</v>
      </c>
    </row>
    <row r="4" spans="1:19" x14ac:dyDescent="0.25">
      <c r="A4" s="1" t="s">
        <v>33</v>
      </c>
      <c r="B4" s="2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t="s">
        <v>34</v>
      </c>
      <c r="N4">
        <v>2</v>
      </c>
      <c r="O4" s="3">
        <v>420</v>
      </c>
      <c r="P4" s="3">
        <v>769</v>
      </c>
      <c r="Q4" s="3">
        <v>698</v>
      </c>
      <c r="R4" s="3">
        <v>840</v>
      </c>
      <c r="S4" s="3">
        <v>1538</v>
      </c>
    </row>
    <row r="5" spans="1:19" x14ac:dyDescent="0.25">
      <c r="A5" s="1" t="s">
        <v>35</v>
      </c>
      <c r="B5" s="2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t="s">
        <v>39</v>
      </c>
      <c r="N5">
        <v>1</v>
      </c>
      <c r="O5" s="3">
        <v>420</v>
      </c>
      <c r="P5" s="3">
        <v>769</v>
      </c>
      <c r="Q5" s="3">
        <v>349</v>
      </c>
      <c r="R5" s="3">
        <v>420</v>
      </c>
      <c r="S5" s="3">
        <v>769</v>
      </c>
    </row>
    <row r="6" spans="1:19" x14ac:dyDescent="0.25">
      <c r="A6" s="1" t="s">
        <v>40</v>
      </c>
      <c r="B6" s="2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>
        <v>2</v>
      </c>
      <c r="O6" s="3">
        <v>1252</v>
      </c>
      <c r="P6" s="3">
        <v>2295</v>
      </c>
      <c r="Q6" s="3">
        <v>2086</v>
      </c>
      <c r="R6" s="3">
        <v>2504</v>
      </c>
      <c r="S6" s="3">
        <v>4590</v>
      </c>
    </row>
    <row r="7" spans="1:19" x14ac:dyDescent="0.25">
      <c r="A7" s="1" t="s">
        <v>41</v>
      </c>
      <c r="B7" s="2">
        <v>44533</v>
      </c>
      <c r="C7">
        <v>3</v>
      </c>
      <c r="D7" t="s">
        <v>20</v>
      </c>
      <c r="E7">
        <v>2021</v>
      </c>
      <c r="F7">
        <v>24</v>
      </c>
      <c r="G7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t="s">
        <v>43</v>
      </c>
      <c r="N7">
        <v>1</v>
      </c>
      <c r="O7" s="3">
        <v>1252</v>
      </c>
      <c r="P7" s="3">
        <v>2295</v>
      </c>
      <c r="Q7" s="3">
        <v>1043</v>
      </c>
      <c r="R7" s="3">
        <v>1252</v>
      </c>
      <c r="S7" s="3">
        <v>2295</v>
      </c>
    </row>
    <row r="8" spans="1:19" x14ac:dyDescent="0.25">
      <c r="A8" s="1" t="s">
        <v>44</v>
      </c>
      <c r="B8" s="2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t="s">
        <v>27</v>
      </c>
      <c r="N8">
        <v>1</v>
      </c>
      <c r="O8" s="3">
        <v>1252</v>
      </c>
      <c r="P8" s="3">
        <v>2295</v>
      </c>
      <c r="Q8" s="3">
        <v>1043</v>
      </c>
      <c r="R8" s="3">
        <v>1252</v>
      </c>
      <c r="S8" s="3">
        <v>2295</v>
      </c>
    </row>
    <row r="9" spans="1:19" x14ac:dyDescent="0.25">
      <c r="A9" s="1" t="s">
        <v>46</v>
      </c>
      <c r="B9" s="2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t="s">
        <v>39</v>
      </c>
      <c r="N9">
        <v>4</v>
      </c>
      <c r="O9" s="3">
        <v>420</v>
      </c>
      <c r="P9" s="3">
        <v>769</v>
      </c>
      <c r="Q9" s="3">
        <v>1396</v>
      </c>
      <c r="R9" s="3">
        <v>1680</v>
      </c>
      <c r="S9" s="3">
        <v>3076</v>
      </c>
    </row>
    <row r="10" spans="1:19" x14ac:dyDescent="0.25">
      <c r="A10" s="1" t="s">
        <v>47</v>
      </c>
      <c r="B10" s="2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>
        <v>4</v>
      </c>
      <c r="O10" s="3">
        <v>1252</v>
      </c>
      <c r="P10" s="3">
        <v>2295</v>
      </c>
      <c r="Q10" s="3">
        <v>4172</v>
      </c>
      <c r="R10" s="3">
        <v>5008</v>
      </c>
      <c r="S10" s="3">
        <v>9180</v>
      </c>
    </row>
    <row r="11" spans="1:19" x14ac:dyDescent="0.25">
      <c r="A11" s="1" t="s">
        <v>48</v>
      </c>
      <c r="B11" s="2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t="s">
        <v>43</v>
      </c>
      <c r="N11">
        <v>4</v>
      </c>
      <c r="O11" s="3">
        <v>1252</v>
      </c>
      <c r="P11" s="3">
        <v>2295</v>
      </c>
      <c r="Q11" s="3">
        <v>4172</v>
      </c>
      <c r="R11" s="3">
        <v>5008</v>
      </c>
      <c r="S11" s="3">
        <v>9180</v>
      </c>
    </row>
    <row r="12" spans="1:19" x14ac:dyDescent="0.25">
      <c r="A12" s="1" t="s">
        <v>51</v>
      </c>
      <c r="B12" s="2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t="s">
        <v>53</v>
      </c>
      <c r="N12">
        <v>1</v>
      </c>
      <c r="O12" s="3">
        <v>1266</v>
      </c>
      <c r="P12" s="3">
        <v>2320</v>
      </c>
      <c r="Q12" s="3">
        <v>1054</v>
      </c>
      <c r="R12" s="3">
        <v>1266</v>
      </c>
      <c r="S12" s="3">
        <v>2320</v>
      </c>
    </row>
    <row r="13" spans="1:19" x14ac:dyDescent="0.25">
      <c r="A13" s="1" t="s">
        <v>54</v>
      </c>
      <c r="B13" s="2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>
        <v>1</v>
      </c>
      <c r="O13" s="3">
        <v>1252</v>
      </c>
      <c r="P13" s="3">
        <v>2295</v>
      </c>
      <c r="Q13" s="3">
        <v>1043</v>
      </c>
      <c r="R13" s="3">
        <v>1252</v>
      </c>
      <c r="S13" s="3">
        <v>2295</v>
      </c>
    </row>
    <row r="14" spans="1:19" x14ac:dyDescent="0.25">
      <c r="A14" s="1" t="s">
        <v>55</v>
      </c>
      <c r="B14" s="2">
        <v>44536</v>
      </c>
      <c r="C14">
        <v>6</v>
      </c>
      <c r="D14" t="s">
        <v>20</v>
      </c>
      <c r="E14">
        <v>2021</v>
      </c>
      <c r="F14">
        <v>23</v>
      </c>
      <c r="G14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t="s">
        <v>34</v>
      </c>
      <c r="N14">
        <v>3</v>
      </c>
      <c r="O14" s="3">
        <v>420</v>
      </c>
      <c r="P14" s="3">
        <v>769</v>
      </c>
      <c r="Q14" s="3">
        <v>1047</v>
      </c>
      <c r="R14" s="3">
        <v>1260</v>
      </c>
      <c r="S14" s="3">
        <v>2307</v>
      </c>
    </row>
    <row r="15" spans="1:19" x14ac:dyDescent="0.25">
      <c r="A15" s="1" t="s">
        <v>56</v>
      </c>
      <c r="B15" s="2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t="s">
        <v>27</v>
      </c>
      <c r="N15">
        <v>1</v>
      </c>
      <c r="O15" s="3">
        <v>1252</v>
      </c>
      <c r="P15" s="3">
        <v>2295</v>
      </c>
      <c r="Q15" s="3">
        <v>1043</v>
      </c>
      <c r="R15" s="3">
        <v>1252</v>
      </c>
      <c r="S15" s="3">
        <v>2295</v>
      </c>
    </row>
    <row r="16" spans="1:19" x14ac:dyDescent="0.25">
      <c r="A16" s="1" t="s">
        <v>59</v>
      </c>
      <c r="B16" s="2">
        <v>44536</v>
      </c>
      <c r="C16">
        <v>6</v>
      </c>
      <c r="D16" t="s">
        <v>20</v>
      </c>
      <c r="E16">
        <v>2021</v>
      </c>
      <c r="F16">
        <v>36</v>
      </c>
      <c r="G16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t="s">
        <v>60</v>
      </c>
      <c r="N16">
        <v>1</v>
      </c>
      <c r="O16" s="3">
        <v>1252</v>
      </c>
      <c r="P16" s="3">
        <v>2295</v>
      </c>
      <c r="Q16" s="3">
        <v>1043</v>
      </c>
      <c r="R16" s="3">
        <v>1252</v>
      </c>
      <c r="S16" s="3">
        <v>2295</v>
      </c>
    </row>
    <row r="17" spans="1:19" x14ac:dyDescent="0.25">
      <c r="A17" s="1" t="s">
        <v>61</v>
      </c>
      <c r="B17" s="2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t="s">
        <v>53</v>
      </c>
      <c r="N17">
        <v>1</v>
      </c>
      <c r="O17" s="3">
        <v>1266</v>
      </c>
      <c r="P17" s="3">
        <v>2320</v>
      </c>
      <c r="Q17" s="3">
        <v>1054</v>
      </c>
      <c r="R17" s="3">
        <v>1266</v>
      </c>
      <c r="S17" s="3">
        <v>2320</v>
      </c>
    </row>
    <row r="18" spans="1:19" x14ac:dyDescent="0.25">
      <c r="A18" s="1" t="s">
        <v>62</v>
      </c>
      <c r="B18" s="2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t="s">
        <v>63</v>
      </c>
      <c r="N18">
        <v>4</v>
      </c>
      <c r="O18" s="3">
        <v>420</v>
      </c>
      <c r="P18" s="3">
        <v>769</v>
      </c>
      <c r="Q18" s="3">
        <v>1396</v>
      </c>
      <c r="R18" s="3">
        <v>1680</v>
      </c>
      <c r="S18" s="3">
        <v>3076</v>
      </c>
    </row>
    <row r="19" spans="1:19" x14ac:dyDescent="0.25">
      <c r="A19" s="1" t="s">
        <v>64</v>
      </c>
      <c r="B19" s="2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t="s">
        <v>32</v>
      </c>
      <c r="N19">
        <v>2</v>
      </c>
      <c r="O19" s="3">
        <v>1266</v>
      </c>
      <c r="P19" s="3">
        <v>2320</v>
      </c>
      <c r="Q19" s="3">
        <v>2108</v>
      </c>
      <c r="R19" s="3">
        <v>2532</v>
      </c>
      <c r="S19" s="3">
        <v>4640</v>
      </c>
    </row>
    <row r="20" spans="1:19" x14ac:dyDescent="0.25">
      <c r="A20" s="1" t="s">
        <v>65</v>
      </c>
      <c r="B20" s="2">
        <v>44538</v>
      </c>
      <c r="C20">
        <v>8</v>
      </c>
      <c r="D20" t="s">
        <v>20</v>
      </c>
      <c r="E20">
        <v>2021</v>
      </c>
      <c r="F20">
        <v>19</v>
      </c>
      <c r="G20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t="s">
        <v>66</v>
      </c>
      <c r="N20">
        <v>4</v>
      </c>
      <c r="O20" s="3">
        <v>308</v>
      </c>
      <c r="P20" s="3">
        <v>565</v>
      </c>
      <c r="Q20" s="3">
        <v>1028</v>
      </c>
      <c r="R20" s="3">
        <v>1232</v>
      </c>
      <c r="S20" s="3">
        <v>2260</v>
      </c>
    </row>
    <row r="21" spans="1:19" x14ac:dyDescent="0.25">
      <c r="A21" s="1" t="s">
        <v>67</v>
      </c>
      <c r="B21" s="2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t="s">
        <v>53</v>
      </c>
      <c r="N21">
        <v>4</v>
      </c>
      <c r="O21" s="3">
        <v>1266</v>
      </c>
      <c r="P21" s="3">
        <v>2320</v>
      </c>
      <c r="Q21" s="3">
        <v>4216</v>
      </c>
      <c r="R21" s="3">
        <v>5064</v>
      </c>
      <c r="S21" s="3">
        <v>9280</v>
      </c>
    </row>
    <row r="22" spans="1:19" x14ac:dyDescent="0.25">
      <c r="A22" s="1" t="s">
        <v>68</v>
      </c>
      <c r="B22" s="2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t="s">
        <v>60</v>
      </c>
      <c r="N22">
        <v>2</v>
      </c>
      <c r="O22" s="3">
        <v>1252</v>
      </c>
      <c r="P22" s="3">
        <v>2295</v>
      </c>
      <c r="Q22" s="3">
        <v>2086</v>
      </c>
      <c r="R22" s="3">
        <v>2504</v>
      </c>
      <c r="S22" s="3">
        <v>4590</v>
      </c>
    </row>
    <row r="23" spans="1:19" x14ac:dyDescent="0.25">
      <c r="A23" s="1" t="s">
        <v>70</v>
      </c>
      <c r="B23" s="2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71</v>
      </c>
      <c r="N23">
        <v>1</v>
      </c>
      <c r="O23" s="3">
        <v>295</v>
      </c>
      <c r="P23" s="3">
        <v>540</v>
      </c>
      <c r="Q23" s="3">
        <v>245</v>
      </c>
      <c r="R23" s="3">
        <v>295</v>
      </c>
      <c r="S23" s="3">
        <v>540</v>
      </c>
    </row>
    <row r="24" spans="1:19" x14ac:dyDescent="0.25">
      <c r="A24" s="1" t="s">
        <v>72</v>
      </c>
      <c r="B24" s="2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t="s">
        <v>74</v>
      </c>
      <c r="N24">
        <v>2</v>
      </c>
      <c r="O24" s="3">
        <v>1898</v>
      </c>
      <c r="P24" s="3">
        <v>3375</v>
      </c>
      <c r="Q24" s="3">
        <v>2954</v>
      </c>
      <c r="R24" s="3">
        <v>3796</v>
      </c>
      <c r="S24" s="3">
        <v>6750</v>
      </c>
    </row>
    <row r="25" spans="1:19" x14ac:dyDescent="0.25">
      <c r="A25" s="1" t="s">
        <v>75</v>
      </c>
      <c r="B25" s="2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t="s">
        <v>32</v>
      </c>
      <c r="N25">
        <v>1</v>
      </c>
      <c r="O25" s="3">
        <v>1266</v>
      </c>
      <c r="P25" s="3">
        <v>2320</v>
      </c>
      <c r="Q25" s="3">
        <v>1054</v>
      </c>
      <c r="R25" s="3">
        <v>1266</v>
      </c>
      <c r="S25" s="3">
        <v>2320</v>
      </c>
    </row>
    <row r="26" spans="1:19" x14ac:dyDescent="0.25">
      <c r="A26" s="1" t="s">
        <v>77</v>
      </c>
      <c r="B26" s="2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60</v>
      </c>
      <c r="N26">
        <v>2</v>
      </c>
      <c r="O26" s="3">
        <v>1252</v>
      </c>
      <c r="P26" s="3">
        <v>2295</v>
      </c>
      <c r="Q26" s="3">
        <v>2086</v>
      </c>
      <c r="R26" s="3">
        <v>2504</v>
      </c>
      <c r="S26" s="3">
        <v>4590</v>
      </c>
    </row>
    <row r="27" spans="1:19" x14ac:dyDescent="0.25">
      <c r="A27" s="1" t="s">
        <v>78</v>
      </c>
      <c r="B27" s="2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t="s">
        <v>60</v>
      </c>
      <c r="N27">
        <v>2</v>
      </c>
      <c r="O27" s="3">
        <v>1252</v>
      </c>
      <c r="P27" s="3">
        <v>2295</v>
      </c>
      <c r="Q27" s="3">
        <v>2086</v>
      </c>
      <c r="R27" s="3">
        <v>2504</v>
      </c>
      <c r="S27" s="3">
        <v>4590</v>
      </c>
    </row>
    <row r="28" spans="1:19" x14ac:dyDescent="0.25">
      <c r="A28" s="1" t="s">
        <v>79</v>
      </c>
      <c r="B28" s="2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t="s">
        <v>43</v>
      </c>
      <c r="N28">
        <v>1</v>
      </c>
      <c r="O28" s="3">
        <v>1252</v>
      </c>
      <c r="P28" s="3">
        <v>2295</v>
      </c>
      <c r="Q28" s="3">
        <v>1043</v>
      </c>
      <c r="R28" s="3">
        <v>1252</v>
      </c>
      <c r="S28" s="3">
        <v>2295</v>
      </c>
    </row>
    <row r="29" spans="1:19" x14ac:dyDescent="0.25">
      <c r="A29" s="1" t="s">
        <v>80</v>
      </c>
      <c r="B29" s="2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t="s">
        <v>81</v>
      </c>
      <c r="N29">
        <v>1</v>
      </c>
      <c r="O29" s="3">
        <v>295</v>
      </c>
      <c r="P29" s="3">
        <v>540</v>
      </c>
      <c r="Q29" s="3">
        <v>245</v>
      </c>
      <c r="R29" s="3">
        <v>295</v>
      </c>
      <c r="S29" s="3">
        <v>540</v>
      </c>
    </row>
    <row r="30" spans="1:19" x14ac:dyDescent="0.25">
      <c r="A30" s="1" t="s">
        <v>82</v>
      </c>
      <c r="B30" s="2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t="s">
        <v>83</v>
      </c>
      <c r="N30">
        <v>1</v>
      </c>
      <c r="O30" s="3">
        <v>1912</v>
      </c>
      <c r="P30" s="3">
        <v>3400</v>
      </c>
      <c r="Q30" s="3">
        <v>1488</v>
      </c>
      <c r="R30" s="3">
        <v>1912</v>
      </c>
      <c r="S30" s="3">
        <v>3400</v>
      </c>
    </row>
    <row r="31" spans="1:19" x14ac:dyDescent="0.25">
      <c r="A31" s="1" t="s">
        <v>84</v>
      </c>
      <c r="B31" s="2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t="s">
        <v>43</v>
      </c>
      <c r="N31">
        <v>1</v>
      </c>
      <c r="O31" s="3">
        <v>1252</v>
      </c>
      <c r="P31" s="3">
        <v>2295</v>
      </c>
      <c r="Q31" s="3">
        <v>1043</v>
      </c>
      <c r="R31" s="3">
        <v>1252</v>
      </c>
      <c r="S31" s="3">
        <v>2295</v>
      </c>
    </row>
    <row r="32" spans="1:19" x14ac:dyDescent="0.25">
      <c r="A32" s="1" t="s">
        <v>85</v>
      </c>
      <c r="B32" s="2">
        <v>44541</v>
      </c>
      <c r="C32">
        <v>11</v>
      </c>
      <c r="D32" t="s">
        <v>20</v>
      </c>
      <c r="E32">
        <v>2021</v>
      </c>
      <c r="F32">
        <v>24</v>
      </c>
      <c r="G32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t="s">
        <v>43</v>
      </c>
      <c r="N32">
        <v>3</v>
      </c>
      <c r="O32" s="3">
        <v>1252</v>
      </c>
      <c r="P32" s="3">
        <v>2295</v>
      </c>
      <c r="Q32" s="3">
        <v>3129</v>
      </c>
      <c r="R32" s="3">
        <v>3756</v>
      </c>
      <c r="S32" s="3">
        <v>6885</v>
      </c>
    </row>
    <row r="33" spans="1:19" x14ac:dyDescent="0.25">
      <c r="A33" s="1" t="s">
        <v>88</v>
      </c>
      <c r="B33" s="2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t="s">
        <v>63</v>
      </c>
      <c r="N33">
        <v>2</v>
      </c>
      <c r="O33" s="3">
        <v>420</v>
      </c>
      <c r="P33" s="3">
        <v>769</v>
      </c>
      <c r="Q33" s="3">
        <v>698</v>
      </c>
      <c r="R33" s="3">
        <v>840</v>
      </c>
      <c r="S33" s="3">
        <v>1538</v>
      </c>
    </row>
    <row r="34" spans="1:19" x14ac:dyDescent="0.25">
      <c r="A34" s="1" t="s">
        <v>89</v>
      </c>
      <c r="B34" s="2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t="s">
        <v>27</v>
      </c>
      <c r="N34">
        <v>1</v>
      </c>
      <c r="O34" s="3">
        <v>1252</v>
      </c>
      <c r="P34" s="3">
        <v>2295</v>
      </c>
      <c r="Q34" s="3">
        <v>1043</v>
      </c>
      <c r="R34" s="3">
        <v>1252</v>
      </c>
      <c r="S34" s="3">
        <v>2295</v>
      </c>
    </row>
    <row r="35" spans="1:19" x14ac:dyDescent="0.25">
      <c r="A35" s="1" t="s">
        <v>90</v>
      </c>
      <c r="B35" s="2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t="s">
        <v>34</v>
      </c>
      <c r="N35">
        <v>1</v>
      </c>
      <c r="O35" s="3">
        <v>420</v>
      </c>
      <c r="P35" s="3">
        <v>769</v>
      </c>
      <c r="Q35" s="3">
        <v>349</v>
      </c>
      <c r="R35" s="3">
        <v>420</v>
      </c>
      <c r="S35" s="3">
        <v>769</v>
      </c>
    </row>
    <row r="36" spans="1:19" x14ac:dyDescent="0.25">
      <c r="A36" s="1" t="s">
        <v>91</v>
      </c>
      <c r="B36" s="2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53</v>
      </c>
      <c r="N36">
        <v>1</v>
      </c>
      <c r="O36" s="3">
        <v>1266</v>
      </c>
      <c r="P36" s="3">
        <v>2320</v>
      </c>
      <c r="Q36" s="3">
        <v>1054</v>
      </c>
      <c r="R36" s="3">
        <v>1266</v>
      </c>
      <c r="S36" s="3">
        <v>2320</v>
      </c>
    </row>
    <row r="37" spans="1:19" x14ac:dyDescent="0.25">
      <c r="A37" s="1" t="s">
        <v>92</v>
      </c>
      <c r="B37" s="2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t="s">
        <v>32</v>
      </c>
      <c r="N37">
        <v>4</v>
      </c>
      <c r="O37" s="3">
        <v>1266</v>
      </c>
      <c r="P37" s="3">
        <v>2320</v>
      </c>
      <c r="Q37" s="3">
        <v>4216</v>
      </c>
      <c r="R37" s="3">
        <v>5064</v>
      </c>
      <c r="S37" s="3">
        <v>9280</v>
      </c>
    </row>
    <row r="38" spans="1:19" x14ac:dyDescent="0.25">
      <c r="A38" s="1" t="s">
        <v>93</v>
      </c>
      <c r="B38" s="2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t="s">
        <v>34</v>
      </c>
      <c r="N38">
        <v>4</v>
      </c>
      <c r="O38" s="3">
        <v>420</v>
      </c>
      <c r="P38" s="3">
        <v>769</v>
      </c>
      <c r="Q38" s="3">
        <v>1396</v>
      </c>
      <c r="R38" s="3">
        <v>1680</v>
      </c>
      <c r="S38" s="3">
        <v>3076</v>
      </c>
    </row>
    <row r="39" spans="1:19" x14ac:dyDescent="0.25">
      <c r="A39" s="1" t="s">
        <v>94</v>
      </c>
      <c r="B39" s="2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t="s">
        <v>43</v>
      </c>
      <c r="N39">
        <v>2</v>
      </c>
      <c r="O39" s="3">
        <v>1252</v>
      </c>
      <c r="P39" s="3">
        <v>2295</v>
      </c>
      <c r="Q39" s="3">
        <v>2086</v>
      </c>
      <c r="R39" s="3">
        <v>2504</v>
      </c>
      <c r="S39" s="3">
        <v>4590</v>
      </c>
    </row>
    <row r="40" spans="1:19" x14ac:dyDescent="0.25">
      <c r="A40" s="1" t="s">
        <v>95</v>
      </c>
      <c r="B40" s="2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t="s">
        <v>32</v>
      </c>
      <c r="N40">
        <v>1</v>
      </c>
      <c r="O40" s="3">
        <v>1266</v>
      </c>
      <c r="P40" s="3">
        <v>2320</v>
      </c>
      <c r="Q40" s="3">
        <v>1054</v>
      </c>
      <c r="R40" s="3">
        <v>1266</v>
      </c>
      <c r="S40" s="3">
        <v>2320</v>
      </c>
    </row>
    <row r="41" spans="1:19" x14ac:dyDescent="0.25">
      <c r="A41" s="1" t="s">
        <v>96</v>
      </c>
      <c r="B41" s="2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t="s">
        <v>32</v>
      </c>
      <c r="N41">
        <v>1</v>
      </c>
      <c r="O41" s="3">
        <v>1266</v>
      </c>
      <c r="P41" s="3">
        <v>2320</v>
      </c>
      <c r="Q41" s="3">
        <v>1054</v>
      </c>
      <c r="R41" s="3">
        <v>1266</v>
      </c>
      <c r="S41" s="3">
        <v>2320</v>
      </c>
    </row>
    <row r="42" spans="1:19" x14ac:dyDescent="0.25">
      <c r="A42" s="1" t="s">
        <v>97</v>
      </c>
      <c r="B42" s="2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t="s">
        <v>32</v>
      </c>
      <c r="N42">
        <v>3</v>
      </c>
      <c r="O42" s="3">
        <v>1266</v>
      </c>
      <c r="P42" s="3">
        <v>2320</v>
      </c>
      <c r="Q42" s="3">
        <v>3162</v>
      </c>
      <c r="R42" s="3">
        <v>3798</v>
      </c>
      <c r="S42" s="3">
        <v>6960</v>
      </c>
    </row>
    <row r="43" spans="1:19" x14ac:dyDescent="0.25">
      <c r="A43" s="1" t="s">
        <v>98</v>
      </c>
      <c r="B43" s="2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99</v>
      </c>
      <c r="N43">
        <v>1</v>
      </c>
      <c r="O43" s="3">
        <v>308</v>
      </c>
      <c r="P43" s="3">
        <v>565</v>
      </c>
      <c r="Q43" s="3">
        <v>257</v>
      </c>
      <c r="R43" s="3">
        <v>308</v>
      </c>
      <c r="S43" s="3">
        <v>565</v>
      </c>
    </row>
    <row r="44" spans="1:19" x14ac:dyDescent="0.25">
      <c r="A44" s="1" t="s">
        <v>100</v>
      </c>
      <c r="B44" s="2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t="s">
        <v>43</v>
      </c>
      <c r="N44">
        <v>1</v>
      </c>
      <c r="O44" s="3">
        <v>1252</v>
      </c>
      <c r="P44" s="3">
        <v>2295</v>
      </c>
      <c r="Q44" s="3">
        <v>1043</v>
      </c>
      <c r="R44" s="3">
        <v>1252</v>
      </c>
      <c r="S44" s="3">
        <v>2295</v>
      </c>
    </row>
    <row r="45" spans="1:19" x14ac:dyDescent="0.25">
      <c r="A45" s="1" t="s">
        <v>101</v>
      </c>
      <c r="B45" s="2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t="s">
        <v>43</v>
      </c>
      <c r="N45">
        <v>1</v>
      </c>
      <c r="O45" s="3">
        <v>1252</v>
      </c>
      <c r="P45" s="3">
        <v>2295</v>
      </c>
      <c r="Q45" s="3">
        <v>1043</v>
      </c>
      <c r="R45" s="3">
        <v>1252</v>
      </c>
      <c r="S45" s="3">
        <v>2295</v>
      </c>
    </row>
    <row r="46" spans="1:19" x14ac:dyDescent="0.25">
      <c r="A46" s="1" t="s">
        <v>102</v>
      </c>
      <c r="B46" s="2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t="s">
        <v>53</v>
      </c>
      <c r="N46">
        <v>2</v>
      </c>
      <c r="O46" s="3">
        <v>1266</v>
      </c>
      <c r="P46" s="3">
        <v>2320</v>
      </c>
      <c r="Q46" s="3">
        <v>2108</v>
      </c>
      <c r="R46" s="3">
        <v>2532</v>
      </c>
      <c r="S46" s="3">
        <v>4640</v>
      </c>
    </row>
    <row r="47" spans="1:19" x14ac:dyDescent="0.25">
      <c r="A47" s="1" t="s">
        <v>103</v>
      </c>
      <c r="B47" s="2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>
        <v>1</v>
      </c>
      <c r="O47" s="3">
        <v>1252</v>
      </c>
      <c r="P47" s="3">
        <v>2295</v>
      </c>
      <c r="Q47" s="3">
        <v>1043</v>
      </c>
      <c r="R47" s="3">
        <v>1252</v>
      </c>
      <c r="S47" s="3">
        <v>2295</v>
      </c>
    </row>
    <row r="48" spans="1:19" x14ac:dyDescent="0.25">
      <c r="A48" s="1" t="s">
        <v>104</v>
      </c>
      <c r="B48" s="2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t="s">
        <v>34</v>
      </c>
      <c r="N48">
        <v>1</v>
      </c>
      <c r="O48" s="3">
        <v>420</v>
      </c>
      <c r="P48" s="3">
        <v>769</v>
      </c>
      <c r="Q48" s="3">
        <v>349</v>
      </c>
      <c r="R48" s="3">
        <v>420</v>
      </c>
      <c r="S48" s="3">
        <v>769</v>
      </c>
    </row>
    <row r="49" spans="1:19" x14ac:dyDescent="0.25">
      <c r="A49" s="1" t="s">
        <v>105</v>
      </c>
      <c r="B49" s="2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32</v>
      </c>
      <c r="N49">
        <v>1</v>
      </c>
      <c r="O49" s="3">
        <v>1266</v>
      </c>
      <c r="P49" s="3">
        <v>2320</v>
      </c>
      <c r="Q49" s="3">
        <v>1054</v>
      </c>
      <c r="R49" s="3">
        <v>1266</v>
      </c>
      <c r="S49" s="3">
        <v>2320</v>
      </c>
    </row>
    <row r="50" spans="1:19" x14ac:dyDescent="0.25">
      <c r="A50" s="1" t="s">
        <v>106</v>
      </c>
      <c r="B50" s="2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t="s">
        <v>43</v>
      </c>
      <c r="N50">
        <v>2</v>
      </c>
      <c r="O50" s="3">
        <v>1252</v>
      </c>
      <c r="P50" s="3">
        <v>2295</v>
      </c>
      <c r="Q50" s="3">
        <v>2086</v>
      </c>
      <c r="R50" s="3">
        <v>2504</v>
      </c>
      <c r="S50" s="3">
        <v>4590</v>
      </c>
    </row>
    <row r="51" spans="1:19" x14ac:dyDescent="0.25">
      <c r="A51" s="1" t="s">
        <v>107</v>
      </c>
      <c r="B51" s="2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t="s">
        <v>43</v>
      </c>
      <c r="N51">
        <v>2</v>
      </c>
      <c r="O51" s="3">
        <v>1252</v>
      </c>
      <c r="P51" s="3">
        <v>2295</v>
      </c>
      <c r="Q51" s="3">
        <v>2086</v>
      </c>
      <c r="R51" s="3">
        <v>2504</v>
      </c>
      <c r="S51" s="3">
        <v>4590</v>
      </c>
    </row>
    <row r="52" spans="1:19" x14ac:dyDescent="0.25">
      <c r="A52" s="1" t="s">
        <v>108</v>
      </c>
      <c r="B52" s="2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t="s">
        <v>110</v>
      </c>
      <c r="N52">
        <v>1</v>
      </c>
      <c r="O52" s="3">
        <v>1266</v>
      </c>
      <c r="P52" s="3">
        <v>2320</v>
      </c>
      <c r="Q52" s="3">
        <v>1054</v>
      </c>
      <c r="R52" s="3">
        <v>1266</v>
      </c>
      <c r="S52" s="3">
        <v>2320</v>
      </c>
    </row>
    <row r="53" spans="1:19" x14ac:dyDescent="0.25">
      <c r="A53" s="1" t="s">
        <v>111</v>
      </c>
      <c r="B53" s="2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t="s">
        <v>53</v>
      </c>
      <c r="N53">
        <v>2</v>
      </c>
      <c r="O53" s="3">
        <v>1266</v>
      </c>
      <c r="P53" s="3">
        <v>2320</v>
      </c>
      <c r="Q53" s="3">
        <v>2108</v>
      </c>
      <c r="R53" s="3">
        <v>2532</v>
      </c>
      <c r="S53" s="3">
        <v>4640</v>
      </c>
    </row>
    <row r="54" spans="1:19" x14ac:dyDescent="0.25">
      <c r="A54" s="1" t="s">
        <v>112</v>
      </c>
      <c r="B54" s="2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t="s">
        <v>39</v>
      </c>
      <c r="N54">
        <v>1</v>
      </c>
      <c r="O54" s="3">
        <v>420</v>
      </c>
      <c r="P54" s="3">
        <v>769</v>
      </c>
      <c r="Q54" s="3">
        <v>349</v>
      </c>
      <c r="R54" s="3">
        <v>420</v>
      </c>
      <c r="S54" s="3">
        <v>769</v>
      </c>
    </row>
    <row r="55" spans="1:19" x14ac:dyDescent="0.25">
      <c r="A55" s="1" t="s">
        <v>113</v>
      </c>
      <c r="B55" s="2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t="s">
        <v>110</v>
      </c>
      <c r="N55">
        <v>1</v>
      </c>
      <c r="O55" s="3">
        <v>1266</v>
      </c>
      <c r="P55" s="3">
        <v>2320</v>
      </c>
      <c r="Q55" s="3">
        <v>1054</v>
      </c>
      <c r="R55" s="3">
        <v>1266</v>
      </c>
      <c r="S55" s="3">
        <v>2320</v>
      </c>
    </row>
    <row r="56" spans="1:19" x14ac:dyDescent="0.25">
      <c r="A56" s="1" t="s">
        <v>114</v>
      </c>
      <c r="B56" s="2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t="s">
        <v>66</v>
      </c>
      <c r="N56">
        <v>4</v>
      </c>
      <c r="O56" s="3">
        <v>308</v>
      </c>
      <c r="P56" s="3">
        <v>565</v>
      </c>
      <c r="Q56" s="3">
        <v>1028</v>
      </c>
      <c r="R56" s="3">
        <v>1232</v>
      </c>
      <c r="S56" s="3">
        <v>2260</v>
      </c>
    </row>
    <row r="57" spans="1:19" x14ac:dyDescent="0.25">
      <c r="A57" s="1" t="s">
        <v>115</v>
      </c>
      <c r="B57" s="2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t="s">
        <v>110</v>
      </c>
      <c r="N57">
        <v>4</v>
      </c>
      <c r="O57" s="3">
        <v>1266</v>
      </c>
      <c r="P57" s="3">
        <v>2320</v>
      </c>
      <c r="Q57" s="3">
        <v>4216</v>
      </c>
      <c r="R57" s="3">
        <v>5064</v>
      </c>
      <c r="S57" s="3">
        <v>9280</v>
      </c>
    </row>
    <row r="58" spans="1:19" x14ac:dyDescent="0.25">
      <c r="A58" s="1" t="s">
        <v>116</v>
      </c>
      <c r="B58" s="2">
        <v>44548</v>
      </c>
      <c r="C58">
        <v>18</v>
      </c>
      <c r="D58" t="s">
        <v>20</v>
      </c>
      <c r="E58">
        <v>2021</v>
      </c>
      <c r="F58">
        <v>24</v>
      </c>
      <c r="G5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t="s">
        <v>53</v>
      </c>
      <c r="N58">
        <v>3</v>
      </c>
      <c r="O58" s="3">
        <v>1266</v>
      </c>
      <c r="P58" s="3">
        <v>2320</v>
      </c>
      <c r="Q58" s="3">
        <v>3162</v>
      </c>
      <c r="R58" s="3">
        <v>3798</v>
      </c>
      <c r="S58" s="3">
        <v>6960</v>
      </c>
    </row>
    <row r="59" spans="1:19" x14ac:dyDescent="0.25">
      <c r="A59" s="1" t="s">
        <v>118</v>
      </c>
      <c r="B59" s="2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t="s">
        <v>39</v>
      </c>
      <c r="N59">
        <v>3</v>
      </c>
      <c r="O59" s="3">
        <v>420</v>
      </c>
      <c r="P59" s="3">
        <v>769</v>
      </c>
      <c r="Q59" s="3">
        <v>1047</v>
      </c>
      <c r="R59" s="3">
        <v>1260</v>
      </c>
      <c r="S59" s="3">
        <v>2307</v>
      </c>
    </row>
    <row r="60" spans="1:19" x14ac:dyDescent="0.25">
      <c r="A60" s="1" t="s">
        <v>119</v>
      </c>
      <c r="B60" s="2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t="s">
        <v>60</v>
      </c>
      <c r="N60">
        <v>3</v>
      </c>
      <c r="O60" s="3">
        <v>1252</v>
      </c>
      <c r="P60" s="3">
        <v>2295</v>
      </c>
      <c r="Q60" s="3">
        <v>3129</v>
      </c>
      <c r="R60" s="3">
        <v>3756</v>
      </c>
      <c r="S60" s="3">
        <v>6885</v>
      </c>
    </row>
    <row r="61" spans="1:19" x14ac:dyDescent="0.25">
      <c r="A61" s="1" t="s">
        <v>120</v>
      </c>
      <c r="B61" s="2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t="s">
        <v>27</v>
      </c>
      <c r="N61">
        <v>1</v>
      </c>
      <c r="O61" s="3">
        <v>1252</v>
      </c>
      <c r="P61" s="3">
        <v>2295</v>
      </c>
      <c r="Q61" s="3">
        <v>1043</v>
      </c>
      <c r="R61" s="3">
        <v>1252</v>
      </c>
      <c r="S61" s="3">
        <v>2295</v>
      </c>
    </row>
    <row r="62" spans="1:19" x14ac:dyDescent="0.25">
      <c r="A62" s="1" t="s">
        <v>121</v>
      </c>
      <c r="B62" s="2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t="s">
        <v>53</v>
      </c>
      <c r="N62">
        <v>1</v>
      </c>
      <c r="O62" s="3">
        <v>1266</v>
      </c>
      <c r="P62" s="3">
        <v>2320</v>
      </c>
      <c r="Q62" s="3">
        <v>1054</v>
      </c>
      <c r="R62" s="3">
        <v>1266</v>
      </c>
      <c r="S62" s="3">
        <v>2320</v>
      </c>
    </row>
    <row r="63" spans="1:19" x14ac:dyDescent="0.25">
      <c r="A63" s="1" t="s">
        <v>122</v>
      </c>
      <c r="B63" s="2">
        <v>44549</v>
      </c>
      <c r="C63">
        <v>19</v>
      </c>
      <c r="D63" t="s">
        <v>20</v>
      </c>
      <c r="E63">
        <v>2021</v>
      </c>
      <c r="F63">
        <v>17</v>
      </c>
      <c r="G63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t="s">
        <v>110</v>
      </c>
      <c r="N63">
        <v>4</v>
      </c>
      <c r="O63" s="3">
        <v>1266</v>
      </c>
      <c r="P63" s="3">
        <v>2320</v>
      </c>
      <c r="Q63" s="3">
        <v>4216</v>
      </c>
      <c r="R63" s="3">
        <v>5064</v>
      </c>
      <c r="S63" s="3">
        <v>9280</v>
      </c>
    </row>
    <row r="64" spans="1:19" x14ac:dyDescent="0.25">
      <c r="A64" s="1" t="s">
        <v>124</v>
      </c>
      <c r="B64" s="2">
        <v>44549</v>
      </c>
      <c r="C64">
        <v>19</v>
      </c>
      <c r="D64" t="s">
        <v>20</v>
      </c>
      <c r="E64">
        <v>2021</v>
      </c>
      <c r="F64">
        <v>19</v>
      </c>
      <c r="G64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t="s">
        <v>125</v>
      </c>
      <c r="N64">
        <v>4</v>
      </c>
      <c r="O64" s="3">
        <v>295</v>
      </c>
      <c r="P64" s="3">
        <v>540</v>
      </c>
      <c r="Q64" s="3">
        <v>980</v>
      </c>
      <c r="R64" s="3">
        <v>1180</v>
      </c>
      <c r="S64" s="3">
        <v>2160</v>
      </c>
    </row>
    <row r="65" spans="1:19" x14ac:dyDescent="0.25">
      <c r="A65" s="1" t="s">
        <v>126</v>
      </c>
      <c r="B65" s="2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t="s">
        <v>43</v>
      </c>
      <c r="N65">
        <v>4</v>
      </c>
      <c r="O65" s="3">
        <v>1252</v>
      </c>
      <c r="P65" s="3">
        <v>2295</v>
      </c>
      <c r="Q65" s="3">
        <v>4172</v>
      </c>
      <c r="R65" s="3">
        <v>5008</v>
      </c>
      <c r="S65" s="3">
        <v>9180</v>
      </c>
    </row>
    <row r="66" spans="1:19" x14ac:dyDescent="0.25">
      <c r="A66" s="1" t="s">
        <v>127</v>
      </c>
      <c r="B66" s="2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t="s">
        <v>128</v>
      </c>
      <c r="N66">
        <v>4</v>
      </c>
      <c r="O66" s="3">
        <v>1898</v>
      </c>
      <c r="P66" s="3">
        <v>3375</v>
      </c>
      <c r="Q66" s="3">
        <v>5908</v>
      </c>
      <c r="R66" s="3">
        <v>7592</v>
      </c>
      <c r="S66" s="3">
        <v>13500</v>
      </c>
    </row>
    <row r="67" spans="1:19" x14ac:dyDescent="0.25">
      <c r="A67" s="1" t="s">
        <v>129</v>
      </c>
      <c r="B67" s="2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t="s">
        <v>43</v>
      </c>
      <c r="N67">
        <v>4</v>
      </c>
      <c r="O67" s="3">
        <v>1252</v>
      </c>
      <c r="P67" s="3">
        <v>2295</v>
      </c>
      <c r="Q67" s="3">
        <v>4172</v>
      </c>
      <c r="R67" s="3">
        <v>5008</v>
      </c>
      <c r="S67" s="3">
        <v>9180</v>
      </c>
    </row>
    <row r="68" spans="1:19" x14ac:dyDescent="0.25">
      <c r="A68" s="1" t="s">
        <v>130</v>
      </c>
      <c r="B68" s="2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>
        <v>4</v>
      </c>
      <c r="O68" s="3">
        <v>1252</v>
      </c>
      <c r="P68" s="3">
        <v>2295</v>
      </c>
      <c r="Q68" s="3">
        <v>4172</v>
      </c>
      <c r="R68" s="3">
        <v>5008</v>
      </c>
      <c r="S68" s="3">
        <v>9180</v>
      </c>
    </row>
    <row r="69" spans="1:19" x14ac:dyDescent="0.25">
      <c r="A69" s="1" t="s">
        <v>131</v>
      </c>
      <c r="B69" s="2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t="s">
        <v>27</v>
      </c>
      <c r="N69">
        <v>4</v>
      </c>
      <c r="O69" s="3">
        <v>1252</v>
      </c>
      <c r="P69" s="3">
        <v>2295</v>
      </c>
      <c r="Q69" s="3">
        <v>4172</v>
      </c>
      <c r="R69" s="3">
        <v>5008</v>
      </c>
      <c r="S69" s="3">
        <v>9180</v>
      </c>
    </row>
    <row r="70" spans="1:19" x14ac:dyDescent="0.25">
      <c r="A70" s="1" t="s">
        <v>132</v>
      </c>
      <c r="B70" s="2">
        <v>44549</v>
      </c>
      <c r="C70">
        <v>19</v>
      </c>
      <c r="D70" t="s">
        <v>20</v>
      </c>
      <c r="E70">
        <v>2021</v>
      </c>
      <c r="F70">
        <v>18</v>
      </c>
      <c r="G70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t="s">
        <v>81</v>
      </c>
      <c r="N70">
        <v>2</v>
      </c>
      <c r="O70" s="3">
        <v>295</v>
      </c>
      <c r="P70" s="3">
        <v>540</v>
      </c>
      <c r="Q70" s="3">
        <v>490</v>
      </c>
      <c r="R70" s="3">
        <v>590</v>
      </c>
      <c r="S70" s="3">
        <v>1080</v>
      </c>
    </row>
    <row r="71" spans="1:19" x14ac:dyDescent="0.25">
      <c r="A71" s="1" t="s">
        <v>134</v>
      </c>
      <c r="B71" s="2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t="s">
        <v>27</v>
      </c>
      <c r="N71">
        <v>2</v>
      </c>
      <c r="O71" s="3">
        <v>1252</v>
      </c>
      <c r="P71" s="3">
        <v>2295</v>
      </c>
      <c r="Q71" s="3">
        <v>2086</v>
      </c>
      <c r="R71" s="3">
        <v>2504</v>
      </c>
      <c r="S71" s="3">
        <v>4590</v>
      </c>
    </row>
    <row r="72" spans="1:19" x14ac:dyDescent="0.25">
      <c r="A72" s="1" t="s">
        <v>136</v>
      </c>
      <c r="B72" s="2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t="s">
        <v>53</v>
      </c>
      <c r="N72">
        <v>1</v>
      </c>
      <c r="O72" s="3">
        <v>1266</v>
      </c>
      <c r="P72" s="3">
        <v>2320</v>
      </c>
      <c r="Q72" s="3">
        <v>1054</v>
      </c>
      <c r="R72" s="3">
        <v>1266</v>
      </c>
      <c r="S72" s="3">
        <v>2320</v>
      </c>
    </row>
    <row r="73" spans="1:19" x14ac:dyDescent="0.25">
      <c r="A73" s="1" t="s">
        <v>137</v>
      </c>
      <c r="B73" s="2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t="s">
        <v>74</v>
      </c>
      <c r="N73">
        <v>4</v>
      </c>
      <c r="O73" s="3">
        <v>1898</v>
      </c>
      <c r="P73" s="3">
        <v>3375</v>
      </c>
      <c r="Q73" s="3">
        <v>5908</v>
      </c>
      <c r="R73" s="3">
        <v>7592</v>
      </c>
      <c r="S73" s="3">
        <v>13500</v>
      </c>
    </row>
    <row r="74" spans="1:19" x14ac:dyDescent="0.25">
      <c r="A74" s="1" t="s">
        <v>138</v>
      </c>
      <c r="B74" s="2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t="s">
        <v>27</v>
      </c>
      <c r="N74">
        <v>4</v>
      </c>
      <c r="O74" s="3">
        <v>1252</v>
      </c>
      <c r="P74" s="3">
        <v>2295</v>
      </c>
      <c r="Q74" s="3">
        <v>4172</v>
      </c>
      <c r="R74" s="3">
        <v>5008</v>
      </c>
      <c r="S74" s="3">
        <v>9180</v>
      </c>
    </row>
    <row r="75" spans="1:19" x14ac:dyDescent="0.25">
      <c r="A75" s="1" t="s">
        <v>139</v>
      </c>
      <c r="B75" s="2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t="s">
        <v>140</v>
      </c>
      <c r="N75">
        <v>3</v>
      </c>
      <c r="O75" s="3">
        <v>295</v>
      </c>
      <c r="P75" s="3">
        <v>540</v>
      </c>
      <c r="Q75" s="3">
        <v>735</v>
      </c>
      <c r="R75" s="3">
        <v>885</v>
      </c>
      <c r="S75" s="3">
        <v>1620</v>
      </c>
    </row>
    <row r="76" spans="1:19" x14ac:dyDescent="0.25">
      <c r="A76" s="1" t="s">
        <v>141</v>
      </c>
      <c r="B76" s="2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t="s">
        <v>53</v>
      </c>
      <c r="N76">
        <v>1</v>
      </c>
      <c r="O76" s="3">
        <v>1266</v>
      </c>
      <c r="P76" s="3">
        <v>2320</v>
      </c>
      <c r="Q76" s="3">
        <v>1054</v>
      </c>
      <c r="R76" s="3">
        <v>1266</v>
      </c>
      <c r="S76" s="3">
        <v>2320</v>
      </c>
    </row>
    <row r="77" spans="1:19" x14ac:dyDescent="0.25">
      <c r="A77" s="1" t="s">
        <v>142</v>
      </c>
      <c r="B77" s="2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t="s">
        <v>53</v>
      </c>
      <c r="N77">
        <v>1</v>
      </c>
      <c r="O77" s="3">
        <v>1266</v>
      </c>
      <c r="P77" s="3">
        <v>2320</v>
      </c>
      <c r="Q77" s="3">
        <v>1054</v>
      </c>
      <c r="R77" s="3">
        <v>1266</v>
      </c>
      <c r="S77" s="3">
        <v>2320</v>
      </c>
    </row>
    <row r="78" spans="1:19" x14ac:dyDescent="0.25">
      <c r="A78" s="1" t="s">
        <v>143</v>
      </c>
      <c r="B78" s="2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t="s">
        <v>53</v>
      </c>
      <c r="N78">
        <v>3</v>
      </c>
      <c r="O78" s="3">
        <v>1266</v>
      </c>
      <c r="P78" s="3">
        <v>2320</v>
      </c>
      <c r="Q78" s="3">
        <v>3162</v>
      </c>
      <c r="R78" s="3">
        <v>3798</v>
      </c>
      <c r="S78" s="3">
        <v>6960</v>
      </c>
    </row>
    <row r="79" spans="1:19" x14ac:dyDescent="0.25">
      <c r="A79" s="1" t="s">
        <v>145</v>
      </c>
      <c r="B79" s="2">
        <v>44551</v>
      </c>
      <c r="C79">
        <v>21</v>
      </c>
      <c r="D79" t="s">
        <v>20</v>
      </c>
      <c r="E79">
        <v>2021</v>
      </c>
      <c r="F79">
        <v>23</v>
      </c>
      <c r="G79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t="s">
        <v>34</v>
      </c>
      <c r="N79">
        <v>2</v>
      </c>
      <c r="O79" s="3">
        <v>420</v>
      </c>
      <c r="P79" s="3">
        <v>769</v>
      </c>
      <c r="Q79" s="3">
        <v>698</v>
      </c>
      <c r="R79" s="3">
        <v>840</v>
      </c>
      <c r="S79" s="3">
        <v>1538</v>
      </c>
    </row>
    <row r="80" spans="1:19" x14ac:dyDescent="0.25">
      <c r="A80" s="1" t="s">
        <v>146</v>
      </c>
      <c r="B80" s="2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t="s">
        <v>53</v>
      </c>
      <c r="N80">
        <v>3</v>
      </c>
      <c r="O80" s="3">
        <v>1266</v>
      </c>
      <c r="P80" s="3">
        <v>2320</v>
      </c>
      <c r="Q80" s="3">
        <v>3162</v>
      </c>
      <c r="R80" s="3">
        <v>3798</v>
      </c>
      <c r="S80" s="3">
        <v>6960</v>
      </c>
    </row>
    <row r="81" spans="1:19" x14ac:dyDescent="0.25">
      <c r="A81" s="1" t="s">
        <v>147</v>
      </c>
      <c r="B81" s="2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t="s">
        <v>60</v>
      </c>
      <c r="N81">
        <v>3</v>
      </c>
      <c r="O81" s="3">
        <v>1252</v>
      </c>
      <c r="P81" s="3">
        <v>2295</v>
      </c>
      <c r="Q81" s="3">
        <v>3129</v>
      </c>
      <c r="R81" s="3">
        <v>3756</v>
      </c>
      <c r="S81" s="3">
        <v>6885</v>
      </c>
    </row>
    <row r="82" spans="1:19" x14ac:dyDescent="0.25">
      <c r="A82" s="1" t="s">
        <v>148</v>
      </c>
      <c r="B82" s="2">
        <v>44552</v>
      </c>
      <c r="C82">
        <v>22</v>
      </c>
      <c r="D82" t="s">
        <v>20</v>
      </c>
      <c r="E82">
        <v>2021</v>
      </c>
      <c r="F82">
        <v>19</v>
      </c>
      <c r="G82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t="s">
        <v>66</v>
      </c>
      <c r="N82">
        <v>1</v>
      </c>
      <c r="O82" s="3">
        <v>308</v>
      </c>
      <c r="P82" s="3">
        <v>565</v>
      </c>
      <c r="Q82" s="3">
        <v>257</v>
      </c>
      <c r="R82" s="3">
        <v>308</v>
      </c>
      <c r="S82" s="3">
        <v>565</v>
      </c>
    </row>
    <row r="83" spans="1:19" x14ac:dyDescent="0.25">
      <c r="A83" s="1" t="s">
        <v>149</v>
      </c>
      <c r="B83" s="2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t="s">
        <v>43</v>
      </c>
      <c r="N83">
        <v>1</v>
      </c>
      <c r="O83" s="3">
        <v>1252</v>
      </c>
      <c r="P83" s="3">
        <v>2295</v>
      </c>
      <c r="Q83" s="3">
        <v>1043</v>
      </c>
      <c r="R83" s="3">
        <v>1252</v>
      </c>
      <c r="S83" s="3">
        <v>2295</v>
      </c>
    </row>
    <row r="84" spans="1:19" x14ac:dyDescent="0.25">
      <c r="A84" s="1" t="s">
        <v>150</v>
      </c>
      <c r="B84" s="2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t="s">
        <v>27</v>
      </c>
      <c r="N84">
        <v>1</v>
      </c>
      <c r="O84" s="3">
        <v>1252</v>
      </c>
      <c r="P84" s="3">
        <v>2295</v>
      </c>
      <c r="Q84" s="3">
        <v>1043</v>
      </c>
      <c r="R84" s="3">
        <v>1252</v>
      </c>
      <c r="S84" s="3">
        <v>2295</v>
      </c>
    </row>
    <row r="85" spans="1:19" x14ac:dyDescent="0.25">
      <c r="A85" s="1" t="s">
        <v>151</v>
      </c>
      <c r="B85" s="2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t="s">
        <v>53</v>
      </c>
      <c r="N85">
        <v>1</v>
      </c>
      <c r="O85" s="3">
        <v>1266</v>
      </c>
      <c r="P85" s="3">
        <v>2320</v>
      </c>
      <c r="Q85" s="3">
        <v>1054</v>
      </c>
      <c r="R85" s="3">
        <v>1266</v>
      </c>
      <c r="S85" s="3">
        <v>2320</v>
      </c>
    </row>
    <row r="86" spans="1:19" x14ac:dyDescent="0.25">
      <c r="A86" s="1" t="s">
        <v>152</v>
      </c>
      <c r="B86" s="2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t="s">
        <v>32</v>
      </c>
      <c r="N86">
        <v>1</v>
      </c>
      <c r="O86" s="3">
        <v>1266</v>
      </c>
      <c r="P86" s="3">
        <v>2320</v>
      </c>
      <c r="Q86" s="3">
        <v>1054</v>
      </c>
      <c r="R86" s="3">
        <v>1266</v>
      </c>
      <c r="S86" s="3">
        <v>2320</v>
      </c>
    </row>
    <row r="87" spans="1:19" x14ac:dyDescent="0.25">
      <c r="A87" s="1" t="s">
        <v>153</v>
      </c>
      <c r="B87" s="2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t="s">
        <v>60</v>
      </c>
      <c r="N87">
        <v>1</v>
      </c>
      <c r="O87" s="3">
        <v>1252</v>
      </c>
      <c r="P87" s="3">
        <v>2295</v>
      </c>
      <c r="Q87" s="3">
        <v>1043</v>
      </c>
      <c r="R87" s="3">
        <v>1252</v>
      </c>
      <c r="S87" s="3">
        <v>2295</v>
      </c>
    </row>
    <row r="88" spans="1:19" x14ac:dyDescent="0.25">
      <c r="A88" s="1" t="s">
        <v>154</v>
      </c>
      <c r="B88" s="2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71</v>
      </c>
      <c r="N88">
        <v>1</v>
      </c>
      <c r="O88" s="3">
        <v>295</v>
      </c>
      <c r="P88" s="3">
        <v>540</v>
      </c>
      <c r="Q88" s="3">
        <v>245</v>
      </c>
      <c r="R88" s="3">
        <v>295</v>
      </c>
      <c r="S88" s="3">
        <v>540</v>
      </c>
    </row>
    <row r="89" spans="1:19" x14ac:dyDescent="0.25">
      <c r="A89" s="1" t="s">
        <v>155</v>
      </c>
      <c r="B89" s="2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t="s">
        <v>60</v>
      </c>
      <c r="N89">
        <v>4</v>
      </c>
      <c r="O89" s="3">
        <v>1252</v>
      </c>
      <c r="P89" s="3">
        <v>2295</v>
      </c>
      <c r="Q89" s="3">
        <v>4172</v>
      </c>
      <c r="R89" s="3">
        <v>5008</v>
      </c>
      <c r="S89" s="3">
        <v>9180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topLeftCell="M1" workbookViewId="0">
      <selection activeCell="U2" sqref="U2"/>
    </sheetView>
  </sheetViews>
  <sheetFormatPr baseColWidth="10" defaultRowHeight="15" x14ac:dyDescent="0.25"/>
  <cols>
    <col min="20" max="21" width="36.85546875" bestFit="1" customWidth="1"/>
  </cols>
  <sheetData>
    <row r="1" spans="1:2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245</v>
      </c>
      <c r="U1" t="s">
        <v>246</v>
      </c>
      <c r="V1" t="s">
        <v>156</v>
      </c>
    </row>
    <row r="2" spans="1:23" x14ac:dyDescent="0.25">
      <c r="A2" s="1" t="s">
        <v>19</v>
      </c>
      <c r="B2" s="2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s="3">
        <v>1252</v>
      </c>
      <c r="P2" s="3">
        <v>2295</v>
      </c>
      <c r="Q2" s="3">
        <v>4172</v>
      </c>
      <c r="R2" s="3">
        <v>5008</v>
      </c>
      <c r="S2" s="3">
        <v>9180</v>
      </c>
      <c r="T2" t="s">
        <v>157</v>
      </c>
      <c r="U2" s="4" t="str">
        <f>+CONCATENATE($A2,":",$N2," ",$L2,"-",B2)</f>
        <v>000261695:4 Mountain Bikes-44531</v>
      </c>
      <c r="V2" s="4" t="str">
        <f>+CONCATENATE($A2,":",$N2," ",$L2,"-",TEXT($B2,"mm/dd/yyyy"))</f>
        <v>000261695:4 Mountain Bikes-12/01/2021</v>
      </c>
      <c r="W2" t="str">
        <f>+CONCATENATE(A2,":",L2)</f>
        <v>000261695:Mountain Bikes</v>
      </c>
    </row>
    <row r="3" spans="1:23" x14ac:dyDescent="0.25">
      <c r="A3" s="1" t="s">
        <v>28</v>
      </c>
      <c r="B3" s="2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t="s">
        <v>32</v>
      </c>
      <c r="N3">
        <v>1</v>
      </c>
      <c r="O3" s="3">
        <v>1266</v>
      </c>
      <c r="P3" s="3">
        <v>2320</v>
      </c>
      <c r="Q3" s="3">
        <v>1054</v>
      </c>
      <c r="R3" s="3">
        <v>1266</v>
      </c>
      <c r="S3" s="3">
        <v>2320</v>
      </c>
      <c r="T3" t="s">
        <v>158</v>
      </c>
      <c r="V3" s="4" t="str">
        <f>+CONCATENATE(A3,":",N3," ",L3,"-",TEXT(B3,"mm/dd/yyyy"))</f>
        <v>000261696:1 Mountain Bikes-12/01/2021</v>
      </c>
      <c r="W3" t="str">
        <f>+CONCATENATE(A3,":",L3)</f>
        <v>000261696:Mountain Bikes</v>
      </c>
    </row>
    <row r="4" spans="1:23" x14ac:dyDescent="0.25">
      <c r="A4" s="1" t="s">
        <v>33</v>
      </c>
      <c r="B4" s="2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t="s">
        <v>34</v>
      </c>
      <c r="N4">
        <v>2</v>
      </c>
      <c r="O4" s="3">
        <v>420</v>
      </c>
      <c r="P4" s="3">
        <v>769</v>
      </c>
      <c r="Q4" s="3">
        <v>698</v>
      </c>
      <c r="R4" s="3">
        <v>840</v>
      </c>
      <c r="S4" s="3">
        <v>1538</v>
      </c>
      <c r="T4" t="s">
        <v>159</v>
      </c>
      <c r="V4" s="4" t="str">
        <f>+CONCATENATE(A4,":",N4," ",L4,"-",TEXT(B4,"mm/dd/yyyy"))</f>
        <v>000261697:2 Mountain Bikes-12/02/2021</v>
      </c>
      <c r="W4" t="str">
        <f>+CONCATENATE(A4,":",L4)</f>
        <v>000261697:Mountain Bikes</v>
      </c>
    </row>
    <row r="5" spans="1:23" x14ac:dyDescent="0.25">
      <c r="A5" s="1" t="s">
        <v>35</v>
      </c>
      <c r="B5" s="2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t="s">
        <v>39</v>
      </c>
      <c r="N5">
        <v>1</v>
      </c>
      <c r="O5" s="3">
        <v>420</v>
      </c>
      <c r="P5" s="3">
        <v>769</v>
      </c>
      <c r="Q5" s="3">
        <v>349</v>
      </c>
      <c r="R5" s="3">
        <v>420</v>
      </c>
      <c r="S5" s="3">
        <v>769</v>
      </c>
      <c r="T5" t="s">
        <v>160</v>
      </c>
      <c r="V5" s="4" t="str">
        <f>+CONCATENATE(A5,":",N5," ",L5,"-",TEXT(B5,"mm/dd/yyyy"))</f>
        <v>000261698:1 Mountain Bikes-12/02/2021</v>
      </c>
      <c r="W5" t="str">
        <f>+CONCATENATE(A5,":",L5)</f>
        <v>000261698:Mountain Bikes</v>
      </c>
    </row>
    <row r="6" spans="1:23" x14ac:dyDescent="0.25">
      <c r="A6" s="1" t="s">
        <v>40</v>
      </c>
      <c r="B6" s="2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>
        <v>2</v>
      </c>
      <c r="O6" s="3">
        <v>1252</v>
      </c>
      <c r="P6" s="3">
        <v>2295</v>
      </c>
      <c r="Q6" s="3">
        <v>2086</v>
      </c>
      <c r="R6" s="3">
        <v>2504</v>
      </c>
      <c r="S6" s="3">
        <v>4590</v>
      </c>
      <c r="T6" t="s">
        <v>161</v>
      </c>
      <c r="V6" s="4" t="str">
        <f>+CONCATENATE(A6,":",N6," ",L6,"-",TEXT(B6,"mm/dd/yyyy"))</f>
        <v>000261699:2 Mountain Bikes-12/03/2021</v>
      </c>
      <c r="W6" t="str">
        <f>+CONCATENATE(A6,":",L6)</f>
        <v>000261699:Mountain Bikes</v>
      </c>
    </row>
    <row r="7" spans="1:23" x14ac:dyDescent="0.25">
      <c r="A7" s="1" t="s">
        <v>41</v>
      </c>
      <c r="B7" s="2">
        <v>44533</v>
      </c>
      <c r="C7">
        <v>3</v>
      </c>
      <c r="D7" t="s">
        <v>20</v>
      </c>
      <c r="E7">
        <v>2021</v>
      </c>
      <c r="F7">
        <v>24</v>
      </c>
      <c r="G7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t="s">
        <v>43</v>
      </c>
      <c r="N7">
        <v>1</v>
      </c>
      <c r="O7" s="3">
        <v>1252</v>
      </c>
      <c r="P7" s="3">
        <v>2295</v>
      </c>
      <c r="Q7" s="3">
        <v>1043</v>
      </c>
      <c r="R7" s="3">
        <v>1252</v>
      </c>
      <c r="S7" s="3">
        <v>2295</v>
      </c>
      <c r="T7" t="s">
        <v>162</v>
      </c>
      <c r="V7" s="4" t="str">
        <f>+CONCATENATE(A7,":",N7," ",L7,"-",TEXT(B7,"mm/dd/yyyy"))</f>
        <v>000261700:1 Mountain Bikes-12/03/2021</v>
      </c>
      <c r="W7" t="str">
        <f>+CONCATENATE(A7,":",L7)</f>
        <v>000261700:Mountain Bikes</v>
      </c>
    </row>
    <row r="8" spans="1:23" x14ac:dyDescent="0.25">
      <c r="A8" s="1" t="s">
        <v>44</v>
      </c>
      <c r="B8" s="2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t="s">
        <v>27</v>
      </c>
      <c r="N8">
        <v>1</v>
      </c>
      <c r="O8" s="3">
        <v>1252</v>
      </c>
      <c r="P8" s="3">
        <v>2295</v>
      </c>
      <c r="Q8" s="3">
        <v>1043</v>
      </c>
      <c r="R8" s="3">
        <v>1252</v>
      </c>
      <c r="S8" s="3">
        <v>2295</v>
      </c>
      <c r="T8" t="s">
        <v>163</v>
      </c>
      <c r="V8" s="4" t="str">
        <f>+CONCATENATE(A8,":",N8," ",L8,"-",TEXT(B8,"mm/dd/yyyy"))</f>
        <v>000261701:1 Mountain Bikes-12/03/2021</v>
      </c>
      <c r="W8" t="str">
        <f>+CONCATENATE(A8,":",L8)</f>
        <v>000261701:Mountain Bikes</v>
      </c>
    </row>
    <row r="9" spans="1:23" x14ac:dyDescent="0.25">
      <c r="A9" s="1" t="s">
        <v>46</v>
      </c>
      <c r="B9" s="2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t="s">
        <v>39</v>
      </c>
      <c r="N9">
        <v>4</v>
      </c>
      <c r="O9" s="3">
        <v>420</v>
      </c>
      <c r="P9" s="3">
        <v>769</v>
      </c>
      <c r="Q9" s="3">
        <v>1396</v>
      </c>
      <c r="R9" s="3">
        <v>1680</v>
      </c>
      <c r="S9" s="3">
        <v>3076</v>
      </c>
      <c r="T9" t="s">
        <v>164</v>
      </c>
      <c r="V9" s="4" t="str">
        <f>+CONCATENATE(A9,":",N9," ",L9,"-",TEXT(B9,"mm/dd/yyyy"))</f>
        <v>000261702:4 Mountain Bikes-12/04/2021</v>
      </c>
      <c r="W9" t="str">
        <f>+CONCATENATE(A9,":",L9)</f>
        <v>000261702:Mountain Bikes</v>
      </c>
    </row>
    <row r="10" spans="1:23" x14ac:dyDescent="0.25">
      <c r="A10" s="1" t="s">
        <v>47</v>
      </c>
      <c r="B10" s="2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>
        <v>4</v>
      </c>
      <c r="O10" s="3">
        <v>1252</v>
      </c>
      <c r="P10" s="3">
        <v>2295</v>
      </c>
      <c r="Q10" s="3">
        <v>4172</v>
      </c>
      <c r="R10" s="3">
        <v>5008</v>
      </c>
      <c r="S10" s="3">
        <v>9180</v>
      </c>
      <c r="T10" t="s">
        <v>165</v>
      </c>
      <c r="V10" s="4" t="str">
        <f>+CONCATENATE(A10,":",N10," ",L10,"-",TEXT(B10,"mm/dd/yyyy"))</f>
        <v>000261703:4 Mountain Bikes-12/05/2021</v>
      </c>
      <c r="W10" t="str">
        <f>+CONCATENATE(A10,":",L10)</f>
        <v>000261703:Mountain Bikes</v>
      </c>
    </row>
    <row r="11" spans="1:23" x14ac:dyDescent="0.25">
      <c r="A11" s="1" t="s">
        <v>48</v>
      </c>
      <c r="B11" s="2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t="s">
        <v>43</v>
      </c>
      <c r="N11">
        <v>4</v>
      </c>
      <c r="O11" s="3">
        <v>1252</v>
      </c>
      <c r="P11" s="3">
        <v>2295</v>
      </c>
      <c r="Q11" s="3">
        <v>4172</v>
      </c>
      <c r="R11" s="3">
        <v>5008</v>
      </c>
      <c r="S11" s="3">
        <v>9180</v>
      </c>
      <c r="T11" t="s">
        <v>166</v>
      </c>
      <c r="V11" s="4" t="str">
        <f>+CONCATENATE(A11,":",N11," ",L11,"-",TEXT(B11,"mm/dd/yyyy"))</f>
        <v>000261704:4 Mountain Bikes-12/05/2021</v>
      </c>
      <c r="W11" t="str">
        <f>+CONCATENATE(A11,":",L11)</f>
        <v>000261704:Mountain Bikes</v>
      </c>
    </row>
    <row r="12" spans="1:23" x14ac:dyDescent="0.25">
      <c r="A12" s="1" t="s">
        <v>51</v>
      </c>
      <c r="B12" s="2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t="s">
        <v>53</v>
      </c>
      <c r="N12">
        <v>1</v>
      </c>
      <c r="O12" s="3">
        <v>1266</v>
      </c>
      <c r="P12" s="3">
        <v>2320</v>
      </c>
      <c r="Q12" s="3">
        <v>1054</v>
      </c>
      <c r="R12" s="3">
        <v>1266</v>
      </c>
      <c r="S12" s="3">
        <v>2320</v>
      </c>
      <c r="T12" t="s">
        <v>167</v>
      </c>
      <c r="V12" s="4" t="str">
        <f>+CONCATENATE(A12,":",N12," ",L12,"-",TEXT(B12,"mm/dd/yyyy"))</f>
        <v>000261705:1 Mountain Bikes-12/05/2021</v>
      </c>
      <c r="W12" t="str">
        <f>+CONCATENATE(A12,":",L12)</f>
        <v>000261705:Mountain Bikes</v>
      </c>
    </row>
    <row r="13" spans="1:23" x14ac:dyDescent="0.25">
      <c r="A13" s="1" t="s">
        <v>54</v>
      </c>
      <c r="B13" s="2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>
        <v>1</v>
      </c>
      <c r="O13" s="3">
        <v>1252</v>
      </c>
      <c r="P13" s="3">
        <v>2295</v>
      </c>
      <c r="Q13" s="3">
        <v>1043</v>
      </c>
      <c r="R13" s="3">
        <v>1252</v>
      </c>
      <c r="S13" s="3">
        <v>2295</v>
      </c>
      <c r="T13" t="s">
        <v>168</v>
      </c>
      <c r="V13" s="4" t="str">
        <f>+CONCATENATE(A13,":",N13," ",L13,"-",TEXT(B13,"mm/dd/yyyy"))</f>
        <v>000261706:1 Mountain Bikes-12/05/2021</v>
      </c>
      <c r="W13" t="str">
        <f>+CONCATENATE(A13,":",L13)</f>
        <v>000261706:Mountain Bikes</v>
      </c>
    </row>
    <row r="14" spans="1:23" x14ac:dyDescent="0.25">
      <c r="A14" s="1" t="s">
        <v>55</v>
      </c>
      <c r="B14" s="2">
        <v>44536</v>
      </c>
      <c r="C14">
        <v>6</v>
      </c>
      <c r="D14" t="s">
        <v>20</v>
      </c>
      <c r="E14">
        <v>2021</v>
      </c>
      <c r="F14">
        <v>23</v>
      </c>
      <c r="G14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t="s">
        <v>34</v>
      </c>
      <c r="N14">
        <v>3</v>
      </c>
      <c r="O14" s="3">
        <v>420</v>
      </c>
      <c r="P14" s="3">
        <v>769</v>
      </c>
      <c r="Q14" s="3">
        <v>1047</v>
      </c>
      <c r="R14" s="3">
        <v>1260</v>
      </c>
      <c r="S14" s="3">
        <v>2307</v>
      </c>
      <c r="T14" t="s">
        <v>169</v>
      </c>
      <c r="V14" s="4" t="str">
        <f>+CONCATENATE(A14,":",N14," ",L14,"-",TEXT(B14,"mm/dd/yyyy"))</f>
        <v>000261707:3 Mountain Bikes-12/06/2021</v>
      </c>
      <c r="W14" t="str">
        <f>+CONCATENATE(A14,":",L14)</f>
        <v>000261707:Mountain Bikes</v>
      </c>
    </row>
    <row r="15" spans="1:23" x14ac:dyDescent="0.25">
      <c r="A15" s="1" t="s">
        <v>56</v>
      </c>
      <c r="B15" s="2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t="s">
        <v>27</v>
      </c>
      <c r="N15">
        <v>1</v>
      </c>
      <c r="O15" s="3">
        <v>1252</v>
      </c>
      <c r="P15" s="3">
        <v>2295</v>
      </c>
      <c r="Q15" s="3">
        <v>1043</v>
      </c>
      <c r="R15" s="3">
        <v>1252</v>
      </c>
      <c r="S15" s="3">
        <v>2295</v>
      </c>
      <c r="T15" t="s">
        <v>170</v>
      </c>
      <c r="V15" s="4" t="str">
        <f>+CONCATENATE(A15,":",N15," ",L15,"-",TEXT(B15,"mm/dd/yyyy"))</f>
        <v>000261708:1 Mountain Bikes-12/06/2021</v>
      </c>
      <c r="W15" t="str">
        <f>+CONCATENATE(A15,":",L15)</f>
        <v>000261708:Mountain Bikes</v>
      </c>
    </row>
    <row r="16" spans="1:23" x14ac:dyDescent="0.25">
      <c r="A16" s="1" t="s">
        <v>59</v>
      </c>
      <c r="B16" s="2">
        <v>44536</v>
      </c>
      <c r="C16">
        <v>6</v>
      </c>
      <c r="D16" t="s">
        <v>20</v>
      </c>
      <c r="E16">
        <v>2021</v>
      </c>
      <c r="F16">
        <v>36</v>
      </c>
      <c r="G16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t="s">
        <v>60</v>
      </c>
      <c r="N16">
        <v>1</v>
      </c>
      <c r="O16" s="3">
        <v>1252</v>
      </c>
      <c r="P16" s="3">
        <v>2295</v>
      </c>
      <c r="Q16" s="3">
        <v>1043</v>
      </c>
      <c r="R16" s="3">
        <v>1252</v>
      </c>
      <c r="S16" s="3">
        <v>2295</v>
      </c>
      <c r="T16" t="s">
        <v>171</v>
      </c>
      <c r="V16" s="4" t="str">
        <f>+CONCATENATE(A16,":",N16," ",L16,"-",TEXT(B16,"mm/dd/yyyy"))</f>
        <v>000261709:1 Mountain Bikes-12/06/2021</v>
      </c>
      <c r="W16" t="str">
        <f>+CONCATENATE(A16,":",L16)</f>
        <v>000261709:Mountain Bikes</v>
      </c>
    </row>
    <row r="17" spans="1:23" x14ac:dyDescent="0.25">
      <c r="A17" s="1" t="s">
        <v>61</v>
      </c>
      <c r="B17" s="2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t="s">
        <v>53</v>
      </c>
      <c r="N17">
        <v>1</v>
      </c>
      <c r="O17" s="3">
        <v>1266</v>
      </c>
      <c r="P17" s="3">
        <v>2320</v>
      </c>
      <c r="Q17" s="3">
        <v>1054</v>
      </c>
      <c r="R17" s="3">
        <v>1266</v>
      </c>
      <c r="S17" s="3">
        <v>2320</v>
      </c>
      <c r="T17" t="s">
        <v>172</v>
      </c>
      <c r="V17" s="4" t="str">
        <f>+CONCATENATE(A17,":",N17," ",L17,"-",TEXT(B17,"mm/dd/yyyy"))</f>
        <v>000261710:1 Mountain Bikes-12/06/2021</v>
      </c>
      <c r="W17" t="str">
        <f>+CONCATENATE(A17,":",L17)</f>
        <v>000261710:Mountain Bikes</v>
      </c>
    </row>
    <row r="18" spans="1:23" x14ac:dyDescent="0.25">
      <c r="A18" s="1" t="s">
        <v>62</v>
      </c>
      <c r="B18" s="2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t="s">
        <v>63</v>
      </c>
      <c r="N18">
        <v>4</v>
      </c>
      <c r="O18" s="3">
        <v>420</v>
      </c>
      <c r="P18" s="3">
        <v>769</v>
      </c>
      <c r="Q18" s="3">
        <v>1396</v>
      </c>
      <c r="R18" s="3">
        <v>1680</v>
      </c>
      <c r="S18" s="3">
        <v>3076</v>
      </c>
      <c r="T18" t="s">
        <v>173</v>
      </c>
      <c r="V18" s="4" t="str">
        <f>+CONCATENATE(A18,":",N18," ",L18,"-",TEXT(B18,"mm/dd/yyyy"))</f>
        <v>000261711:4 Mountain Bikes-12/07/2021</v>
      </c>
      <c r="W18" t="str">
        <f>+CONCATENATE(A18,":",L18)</f>
        <v>000261711:Mountain Bikes</v>
      </c>
    </row>
    <row r="19" spans="1:23" x14ac:dyDescent="0.25">
      <c r="A19" s="1" t="s">
        <v>64</v>
      </c>
      <c r="B19" s="2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t="s">
        <v>32</v>
      </c>
      <c r="N19">
        <v>2</v>
      </c>
      <c r="O19" s="3">
        <v>1266</v>
      </c>
      <c r="P19" s="3">
        <v>2320</v>
      </c>
      <c r="Q19" s="3">
        <v>2108</v>
      </c>
      <c r="R19" s="3">
        <v>2532</v>
      </c>
      <c r="S19" s="3">
        <v>4640</v>
      </c>
      <c r="T19" t="s">
        <v>174</v>
      </c>
      <c r="V19" s="4" t="str">
        <f>+CONCATENATE(A19,":",N19," ",L19,"-",TEXT(B19,"mm/dd/yyyy"))</f>
        <v>000261712:2 Mountain Bikes-12/07/2021</v>
      </c>
      <c r="W19" t="str">
        <f>+CONCATENATE(A19,":",L19)</f>
        <v>000261712:Mountain Bikes</v>
      </c>
    </row>
    <row r="20" spans="1:23" x14ac:dyDescent="0.25">
      <c r="A20" s="1" t="s">
        <v>65</v>
      </c>
      <c r="B20" s="2">
        <v>44538</v>
      </c>
      <c r="C20">
        <v>8</v>
      </c>
      <c r="D20" t="s">
        <v>20</v>
      </c>
      <c r="E20">
        <v>2021</v>
      </c>
      <c r="F20">
        <v>19</v>
      </c>
      <c r="G20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t="s">
        <v>66</v>
      </c>
      <c r="N20">
        <v>4</v>
      </c>
      <c r="O20" s="3">
        <v>308</v>
      </c>
      <c r="P20" s="3">
        <v>565</v>
      </c>
      <c r="Q20" s="3">
        <v>1028</v>
      </c>
      <c r="R20" s="3">
        <v>1232</v>
      </c>
      <c r="S20" s="3">
        <v>2260</v>
      </c>
      <c r="T20" t="s">
        <v>175</v>
      </c>
      <c r="V20" s="4" t="str">
        <f>+CONCATENATE(A20,":",N20," ",L20,"-",TEXT(B20,"mm/dd/yyyy"))</f>
        <v>000261713:4 Mountain Bikes-12/08/2021</v>
      </c>
      <c r="W20" t="str">
        <f>+CONCATENATE(A20,":",L20)</f>
        <v>000261713:Mountain Bikes</v>
      </c>
    </row>
    <row r="21" spans="1:23" x14ac:dyDescent="0.25">
      <c r="A21" s="1" t="s">
        <v>67</v>
      </c>
      <c r="B21" s="2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t="s">
        <v>53</v>
      </c>
      <c r="N21">
        <v>4</v>
      </c>
      <c r="O21" s="3">
        <v>1266</v>
      </c>
      <c r="P21" s="3">
        <v>2320</v>
      </c>
      <c r="Q21" s="3">
        <v>4216</v>
      </c>
      <c r="R21" s="3">
        <v>5064</v>
      </c>
      <c r="S21" s="3">
        <v>9280</v>
      </c>
      <c r="T21" t="s">
        <v>176</v>
      </c>
      <c r="V21" s="4" t="str">
        <f>+CONCATENATE(A21,":",N21," ",L21,"-",TEXT(B21,"mm/dd/yyyy"))</f>
        <v>000261714:4 Mountain Bikes-12/08/2021</v>
      </c>
      <c r="W21" t="str">
        <f>+CONCATENATE(A21,":",L21)</f>
        <v>000261714:Mountain Bikes</v>
      </c>
    </row>
    <row r="22" spans="1:23" x14ac:dyDescent="0.25">
      <c r="A22" s="1" t="s">
        <v>68</v>
      </c>
      <c r="B22" s="2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t="s">
        <v>60</v>
      </c>
      <c r="N22">
        <v>2</v>
      </c>
      <c r="O22" s="3">
        <v>1252</v>
      </c>
      <c r="P22" s="3">
        <v>2295</v>
      </c>
      <c r="Q22" s="3">
        <v>2086</v>
      </c>
      <c r="R22" s="3">
        <v>2504</v>
      </c>
      <c r="S22" s="3">
        <v>4590</v>
      </c>
      <c r="T22" t="s">
        <v>177</v>
      </c>
      <c r="V22" s="4" t="str">
        <f>+CONCATENATE(A22,":",N22," ",L22,"-",TEXT(B22,"mm/dd/yyyy"))</f>
        <v>000261715:2 Mountain Bikes-12/08/2021</v>
      </c>
      <c r="W22" t="str">
        <f>+CONCATENATE(A22,":",L22)</f>
        <v>000261715:Mountain Bikes</v>
      </c>
    </row>
    <row r="23" spans="1:23" x14ac:dyDescent="0.25">
      <c r="A23" s="1" t="s">
        <v>70</v>
      </c>
      <c r="B23" s="2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71</v>
      </c>
      <c r="N23">
        <v>1</v>
      </c>
      <c r="O23" s="3">
        <v>295</v>
      </c>
      <c r="P23" s="3">
        <v>540</v>
      </c>
      <c r="Q23" s="3">
        <v>245</v>
      </c>
      <c r="R23" s="3">
        <v>295</v>
      </c>
      <c r="S23" s="3">
        <v>540</v>
      </c>
      <c r="T23" t="s">
        <v>178</v>
      </c>
      <c r="V23" s="4" t="str">
        <f>+CONCATENATE(A23,":",N23," ",L23,"-",TEXT(B23,"mm/dd/yyyy"))</f>
        <v>000261716:1 Mountain Bikes-12/08/2021</v>
      </c>
      <c r="W23" t="str">
        <f>+CONCATENATE(A23,":",L23)</f>
        <v>000261716:Mountain Bikes</v>
      </c>
    </row>
    <row r="24" spans="1:23" x14ac:dyDescent="0.25">
      <c r="A24" s="1" t="s">
        <v>72</v>
      </c>
      <c r="B24" s="2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t="s">
        <v>74</v>
      </c>
      <c r="N24">
        <v>2</v>
      </c>
      <c r="O24" s="3">
        <v>1898</v>
      </c>
      <c r="P24" s="3">
        <v>3375</v>
      </c>
      <c r="Q24" s="3">
        <v>2954</v>
      </c>
      <c r="R24" s="3">
        <v>3796</v>
      </c>
      <c r="S24" s="3">
        <v>6750</v>
      </c>
      <c r="T24" t="s">
        <v>179</v>
      </c>
      <c r="V24" s="4" t="str">
        <f>+CONCATENATE(A24,":",N24," ",L24,"-",TEXT(B24,"mm/dd/yyyy"))</f>
        <v>000261717:2 Mountain Bikes-12/09/2021</v>
      </c>
      <c r="W24" t="str">
        <f>+CONCATENATE(A24,":",L24)</f>
        <v>000261717:Mountain Bikes</v>
      </c>
    </row>
    <row r="25" spans="1:23" x14ac:dyDescent="0.25">
      <c r="A25" s="1" t="s">
        <v>75</v>
      </c>
      <c r="B25" s="2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t="s">
        <v>32</v>
      </c>
      <c r="N25">
        <v>1</v>
      </c>
      <c r="O25" s="3">
        <v>1266</v>
      </c>
      <c r="P25" s="3">
        <v>2320</v>
      </c>
      <c r="Q25" s="3">
        <v>1054</v>
      </c>
      <c r="R25" s="3">
        <v>1266</v>
      </c>
      <c r="S25" s="3">
        <v>2320</v>
      </c>
      <c r="T25" t="s">
        <v>180</v>
      </c>
      <c r="V25" s="4" t="str">
        <f>+CONCATENATE(A25,":",N25," ",L25,"-",TEXT(B25,"mm/dd/yyyy"))</f>
        <v>000261718:1 Mountain Bikes-12/09/2021</v>
      </c>
      <c r="W25" t="str">
        <f>+CONCATENATE(A25,":",L25)</f>
        <v>000261718:Mountain Bikes</v>
      </c>
    </row>
    <row r="26" spans="1:23" x14ac:dyDescent="0.25">
      <c r="A26" s="1" t="s">
        <v>77</v>
      </c>
      <c r="B26" s="2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60</v>
      </c>
      <c r="N26">
        <v>2</v>
      </c>
      <c r="O26" s="3">
        <v>1252</v>
      </c>
      <c r="P26" s="3">
        <v>2295</v>
      </c>
      <c r="Q26" s="3">
        <v>2086</v>
      </c>
      <c r="R26" s="3">
        <v>2504</v>
      </c>
      <c r="S26" s="3">
        <v>4590</v>
      </c>
      <c r="T26" t="s">
        <v>181</v>
      </c>
      <c r="V26" s="4" t="str">
        <f>+CONCATENATE(A26,":",N26," ",L26,"-",TEXT(B26,"mm/dd/yyyy"))</f>
        <v>000261719:2 Mountain Bikes-12/10/2021</v>
      </c>
      <c r="W26" t="str">
        <f>+CONCATENATE(A26,":",L26)</f>
        <v>000261719:Mountain Bikes</v>
      </c>
    </row>
    <row r="27" spans="1:23" x14ac:dyDescent="0.25">
      <c r="A27" s="1" t="s">
        <v>78</v>
      </c>
      <c r="B27" s="2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t="s">
        <v>60</v>
      </c>
      <c r="N27">
        <v>2</v>
      </c>
      <c r="O27" s="3">
        <v>1252</v>
      </c>
      <c r="P27" s="3">
        <v>2295</v>
      </c>
      <c r="Q27" s="3">
        <v>2086</v>
      </c>
      <c r="R27" s="3">
        <v>2504</v>
      </c>
      <c r="S27" s="3">
        <v>4590</v>
      </c>
      <c r="T27" t="s">
        <v>182</v>
      </c>
      <c r="V27" s="4" t="str">
        <f>+CONCATENATE(A27,":",N27," ",L27,"-",TEXT(B27,"mm/dd/yyyy"))</f>
        <v>000261720:2 Mountain Bikes-12/10/2021</v>
      </c>
      <c r="W27" t="str">
        <f>+CONCATENATE(A27,":",L27)</f>
        <v>000261720:Mountain Bikes</v>
      </c>
    </row>
    <row r="28" spans="1:23" x14ac:dyDescent="0.25">
      <c r="A28" s="1" t="s">
        <v>79</v>
      </c>
      <c r="B28" s="2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t="s">
        <v>43</v>
      </c>
      <c r="N28">
        <v>1</v>
      </c>
      <c r="O28" s="3">
        <v>1252</v>
      </c>
      <c r="P28" s="3">
        <v>2295</v>
      </c>
      <c r="Q28" s="3">
        <v>1043</v>
      </c>
      <c r="R28" s="3">
        <v>1252</v>
      </c>
      <c r="S28" s="3">
        <v>2295</v>
      </c>
      <c r="T28" t="s">
        <v>183</v>
      </c>
      <c r="V28" s="4" t="str">
        <f>+CONCATENATE(A28,":",N28," ",L28,"-",TEXT(B28,"mm/dd/yyyy"))</f>
        <v>000261721:1 Mountain Bikes-12/10/2021</v>
      </c>
      <c r="W28" t="str">
        <f>+CONCATENATE(A28,":",L28)</f>
        <v>000261721:Mountain Bikes</v>
      </c>
    </row>
    <row r="29" spans="1:23" x14ac:dyDescent="0.25">
      <c r="A29" s="1" t="s">
        <v>80</v>
      </c>
      <c r="B29" s="2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t="s">
        <v>81</v>
      </c>
      <c r="N29">
        <v>1</v>
      </c>
      <c r="O29" s="3">
        <v>295</v>
      </c>
      <c r="P29" s="3">
        <v>540</v>
      </c>
      <c r="Q29" s="3">
        <v>245</v>
      </c>
      <c r="R29" s="3">
        <v>295</v>
      </c>
      <c r="S29" s="3">
        <v>540</v>
      </c>
      <c r="T29" t="s">
        <v>184</v>
      </c>
      <c r="V29" s="4" t="str">
        <f>+CONCATENATE(A29,":",N29," ",L29,"-",TEXT(B29,"mm/dd/yyyy"))</f>
        <v>000261722:1 Mountain Bikes-12/10/2021</v>
      </c>
      <c r="W29" t="str">
        <f>+CONCATENATE(A29,":",L29)</f>
        <v>000261722:Mountain Bikes</v>
      </c>
    </row>
    <row r="30" spans="1:23" x14ac:dyDescent="0.25">
      <c r="A30" s="1" t="s">
        <v>82</v>
      </c>
      <c r="B30" s="2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t="s">
        <v>83</v>
      </c>
      <c r="N30">
        <v>1</v>
      </c>
      <c r="O30" s="3">
        <v>1912</v>
      </c>
      <c r="P30" s="3">
        <v>3400</v>
      </c>
      <c r="Q30" s="3">
        <v>1488</v>
      </c>
      <c r="R30" s="3">
        <v>1912</v>
      </c>
      <c r="S30" s="3">
        <v>3400</v>
      </c>
      <c r="T30" t="s">
        <v>185</v>
      </c>
      <c r="V30" s="4" t="str">
        <f>+CONCATENATE(A30,":",N30," ",L30,"-",TEXT(B30,"mm/dd/yyyy"))</f>
        <v>000261723:1 Mountain Bikes-12/10/2021</v>
      </c>
      <c r="W30" t="str">
        <f>+CONCATENATE(A30,":",L30)</f>
        <v>000261723:Mountain Bikes</v>
      </c>
    </row>
    <row r="31" spans="1:23" x14ac:dyDescent="0.25">
      <c r="A31" s="1" t="s">
        <v>84</v>
      </c>
      <c r="B31" s="2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t="s">
        <v>43</v>
      </c>
      <c r="N31">
        <v>1</v>
      </c>
      <c r="O31" s="3">
        <v>1252</v>
      </c>
      <c r="P31" s="3">
        <v>2295</v>
      </c>
      <c r="Q31" s="3">
        <v>1043</v>
      </c>
      <c r="R31" s="3">
        <v>1252</v>
      </c>
      <c r="S31" s="3">
        <v>2295</v>
      </c>
      <c r="T31" t="s">
        <v>186</v>
      </c>
      <c r="V31" s="4" t="str">
        <f>+CONCATENATE(A31,":",N31," ",L31,"-",TEXT(B31,"mm/dd/yyyy"))</f>
        <v>000261724:1 Mountain Bikes-12/10/2021</v>
      </c>
      <c r="W31" t="str">
        <f>+CONCATENATE(A31,":",L31)</f>
        <v>000261724:Mountain Bikes</v>
      </c>
    </row>
    <row r="32" spans="1:23" x14ac:dyDescent="0.25">
      <c r="A32" s="1" t="s">
        <v>85</v>
      </c>
      <c r="B32" s="2">
        <v>44541</v>
      </c>
      <c r="C32">
        <v>11</v>
      </c>
      <c r="D32" t="s">
        <v>20</v>
      </c>
      <c r="E32">
        <v>2021</v>
      </c>
      <c r="F32">
        <v>24</v>
      </c>
      <c r="G32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t="s">
        <v>43</v>
      </c>
      <c r="N32">
        <v>3</v>
      </c>
      <c r="O32" s="3">
        <v>1252</v>
      </c>
      <c r="P32" s="3">
        <v>2295</v>
      </c>
      <c r="Q32" s="3">
        <v>3129</v>
      </c>
      <c r="R32" s="3">
        <v>3756</v>
      </c>
      <c r="S32" s="3">
        <v>6885</v>
      </c>
      <c r="T32" t="s">
        <v>187</v>
      </c>
      <c r="V32" s="4" t="str">
        <f>+CONCATENATE(A32,":",N32," ",L32,"-",TEXT(B32,"mm/dd/yyyy"))</f>
        <v>000261725:3 Mountain Bikes-12/11/2021</v>
      </c>
      <c r="W32" t="str">
        <f>+CONCATENATE(A32,":",L32)</f>
        <v>000261725:Mountain Bikes</v>
      </c>
    </row>
    <row r="33" spans="1:23" x14ac:dyDescent="0.25">
      <c r="A33" s="1" t="s">
        <v>88</v>
      </c>
      <c r="B33" s="2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t="s">
        <v>63</v>
      </c>
      <c r="N33">
        <v>2</v>
      </c>
      <c r="O33" s="3">
        <v>420</v>
      </c>
      <c r="P33" s="3">
        <v>769</v>
      </c>
      <c r="Q33" s="3">
        <v>698</v>
      </c>
      <c r="R33" s="3">
        <v>840</v>
      </c>
      <c r="S33" s="3">
        <v>1538</v>
      </c>
      <c r="T33" t="s">
        <v>188</v>
      </c>
      <c r="V33" s="4" t="str">
        <f>+CONCATENATE(A33,":",N33," ",L33,"-",TEXT(B33,"mm/dd/yyyy"))</f>
        <v>000261726:2 Mountain Bikes-12/11/2021</v>
      </c>
      <c r="W33" t="str">
        <f>+CONCATENATE(A33,":",L33)</f>
        <v>000261726:Mountain Bikes</v>
      </c>
    </row>
    <row r="34" spans="1:23" x14ac:dyDescent="0.25">
      <c r="A34" s="1" t="s">
        <v>89</v>
      </c>
      <c r="B34" s="2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t="s">
        <v>27</v>
      </c>
      <c r="N34">
        <v>1</v>
      </c>
      <c r="O34" s="3">
        <v>1252</v>
      </c>
      <c r="P34" s="3">
        <v>2295</v>
      </c>
      <c r="Q34" s="3">
        <v>1043</v>
      </c>
      <c r="R34" s="3">
        <v>1252</v>
      </c>
      <c r="S34" s="3">
        <v>2295</v>
      </c>
      <c r="T34" t="s">
        <v>189</v>
      </c>
      <c r="V34" s="4" t="str">
        <f>+CONCATENATE(A34,":",N34," ",L34,"-",TEXT(B34,"mm/dd/yyyy"))</f>
        <v>000261727:1 Mountain Bikes-12/11/2021</v>
      </c>
      <c r="W34" t="str">
        <f>+CONCATENATE(A34,":",L34)</f>
        <v>000261727:Mountain Bikes</v>
      </c>
    </row>
    <row r="35" spans="1:23" x14ac:dyDescent="0.25">
      <c r="A35" s="1" t="s">
        <v>90</v>
      </c>
      <c r="B35" s="2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t="s">
        <v>34</v>
      </c>
      <c r="N35">
        <v>1</v>
      </c>
      <c r="O35" s="3">
        <v>420</v>
      </c>
      <c r="P35" s="3">
        <v>769</v>
      </c>
      <c r="Q35" s="3">
        <v>349</v>
      </c>
      <c r="R35" s="3">
        <v>420</v>
      </c>
      <c r="S35" s="3">
        <v>769</v>
      </c>
      <c r="T35" t="s">
        <v>190</v>
      </c>
      <c r="V35" s="4" t="str">
        <f>+CONCATENATE(A35,":",N35," ",L35,"-",TEXT(B35,"mm/dd/yyyy"))</f>
        <v>000261728:1 Mountain Bikes-12/11/2021</v>
      </c>
      <c r="W35" t="str">
        <f>+CONCATENATE(A35,":",L35)</f>
        <v>000261728:Mountain Bikes</v>
      </c>
    </row>
    <row r="36" spans="1:23" x14ac:dyDescent="0.25">
      <c r="A36" s="1" t="s">
        <v>91</v>
      </c>
      <c r="B36" s="2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53</v>
      </c>
      <c r="N36">
        <v>1</v>
      </c>
      <c r="O36" s="3">
        <v>1266</v>
      </c>
      <c r="P36" s="3">
        <v>2320</v>
      </c>
      <c r="Q36" s="3">
        <v>1054</v>
      </c>
      <c r="R36" s="3">
        <v>1266</v>
      </c>
      <c r="S36" s="3">
        <v>2320</v>
      </c>
      <c r="T36" t="s">
        <v>191</v>
      </c>
      <c r="V36" s="4" t="str">
        <f>+CONCATENATE(A36,":",N36," ",L36,"-",TEXT(B36,"mm/dd/yyyy"))</f>
        <v>000261729:1 Mountain Bikes-12/11/2021</v>
      </c>
      <c r="W36" t="str">
        <f>+CONCATENATE(A36,":",L36)</f>
        <v>000261729:Mountain Bikes</v>
      </c>
    </row>
    <row r="37" spans="1:23" x14ac:dyDescent="0.25">
      <c r="A37" s="1" t="s">
        <v>92</v>
      </c>
      <c r="B37" s="2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t="s">
        <v>32</v>
      </c>
      <c r="N37">
        <v>4</v>
      </c>
      <c r="O37" s="3">
        <v>1266</v>
      </c>
      <c r="P37" s="3">
        <v>2320</v>
      </c>
      <c r="Q37" s="3">
        <v>4216</v>
      </c>
      <c r="R37" s="3">
        <v>5064</v>
      </c>
      <c r="S37" s="3">
        <v>9280</v>
      </c>
      <c r="T37" t="s">
        <v>192</v>
      </c>
      <c r="V37" s="4" t="str">
        <f>+CONCATENATE(A37,":",N37," ",L37,"-",TEXT(B37,"mm/dd/yyyy"))</f>
        <v>000261730:4 Mountain Bikes-12/12/2021</v>
      </c>
      <c r="W37" t="str">
        <f>+CONCATENATE(A37,":",L37)</f>
        <v>000261730:Mountain Bikes</v>
      </c>
    </row>
    <row r="38" spans="1:23" x14ac:dyDescent="0.25">
      <c r="A38" s="1" t="s">
        <v>93</v>
      </c>
      <c r="B38" s="2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t="s">
        <v>34</v>
      </c>
      <c r="N38">
        <v>4</v>
      </c>
      <c r="O38" s="3">
        <v>420</v>
      </c>
      <c r="P38" s="3">
        <v>769</v>
      </c>
      <c r="Q38" s="3">
        <v>1396</v>
      </c>
      <c r="R38" s="3">
        <v>1680</v>
      </c>
      <c r="S38" s="3">
        <v>3076</v>
      </c>
      <c r="T38" t="s">
        <v>193</v>
      </c>
      <c r="V38" s="4" t="str">
        <f>+CONCATENATE(A38,":",N38," ",L38,"-",TEXT(B38,"mm/dd/yyyy"))</f>
        <v>000261731:4 Mountain Bikes-12/12/2021</v>
      </c>
      <c r="W38" t="str">
        <f>+CONCATENATE(A38,":",L38)</f>
        <v>000261731:Mountain Bikes</v>
      </c>
    </row>
    <row r="39" spans="1:23" x14ac:dyDescent="0.25">
      <c r="A39" s="1" t="s">
        <v>94</v>
      </c>
      <c r="B39" s="2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t="s">
        <v>43</v>
      </c>
      <c r="N39">
        <v>2</v>
      </c>
      <c r="O39" s="3">
        <v>1252</v>
      </c>
      <c r="P39" s="3">
        <v>2295</v>
      </c>
      <c r="Q39" s="3">
        <v>2086</v>
      </c>
      <c r="R39" s="3">
        <v>2504</v>
      </c>
      <c r="S39" s="3">
        <v>4590</v>
      </c>
      <c r="T39" t="s">
        <v>194</v>
      </c>
      <c r="V39" s="4" t="str">
        <f>+CONCATENATE(A39,":",N39," ",L39,"-",TEXT(B39,"mm/dd/yyyy"))</f>
        <v>000261732:2 Mountain Bikes-12/12/2021</v>
      </c>
      <c r="W39" t="str">
        <f>+CONCATENATE(A39,":",L39)</f>
        <v>000261732:Mountain Bikes</v>
      </c>
    </row>
    <row r="40" spans="1:23" x14ac:dyDescent="0.25">
      <c r="A40" s="1" t="s">
        <v>95</v>
      </c>
      <c r="B40" s="2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t="s">
        <v>32</v>
      </c>
      <c r="N40">
        <v>1</v>
      </c>
      <c r="O40" s="3">
        <v>1266</v>
      </c>
      <c r="P40" s="3">
        <v>2320</v>
      </c>
      <c r="Q40" s="3">
        <v>1054</v>
      </c>
      <c r="R40" s="3">
        <v>1266</v>
      </c>
      <c r="S40" s="3">
        <v>2320</v>
      </c>
      <c r="T40" t="s">
        <v>195</v>
      </c>
      <c r="V40" s="4" t="str">
        <f>+CONCATENATE(A40,":",N40," ",L40,"-",TEXT(B40,"mm/dd/yyyy"))</f>
        <v>000261733:1 Mountain Bikes-12/12/2021</v>
      </c>
      <c r="W40" t="str">
        <f>+CONCATENATE(A40,":",L40)</f>
        <v>000261733:Mountain Bikes</v>
      </c>
    </row>
    <row r="41" spans="1:23" x14ac:dyDescent="0.25">
      <c r="A41" s="1" t="s">
        <v>96</v>
      </c>
      <c r="B41" s="2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t="s">
        <v>32</v>
      </c>
      <c r="N41">
        <v>1</v>
      </c>
      <c r="O41" s="3">
        <v>1266</v>
      </c>
      <c r="P41" s="3">
        <v>2320</v>
      </c>
      <c r="Q41" s="3">
        <v>1054</v>
      </c>
      <c r="R41" s="3">
        <v>1266</v>
      </c>
      <c r="S41" s="3">
        <v>2320</v>
      </c>
      <c r="T41" t="s">
        <v>196</v>
      </c>
      <c r="V41" s="4" t="str">
        <f>+CONCATENATE(A41,":",N41," ",L41,"-",TEXT(B41,"mm/dd/yyyy"))</f>
        <v>000261734:1 Mountain Bikes-12/12/2021</v>
      </c>
      <c r="W41" t="str">
        <f>+CONCATENATE(A41,":",L41)</f>
        <v>000261734:Mountain Bikes</v>
      </c>
    </row>
    <row r="42" spans="1:23" x14ac:dyDescent="0.25">
      <c r="A42" s="1" t="s">
        <v>97</v>
      </c>
      <c r="B42" s="2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t="s">
        <v>32</v>
      </c>
      <c r="N42">
        <v>3</v>
      </c>
      <c r="O42" s="3">
        <v>1266</v>
      </c>
      <c r="P42" s="3">
        <v>2320</v>
      </c>
      <c r="Q42" s="3">
        <v>3162</v>
      </c>
      <c r="R42" s="3">
        <v>3798</v>
      </c>
      <c r="S42" s="3">
        <v>6960</v>
      </c>
      <c r="T42" t="s">
        <v>197</v>
      </c>
      <c r="V42" s="4" t="str">
        <f>+CONCATENATE(A42,":",N42," ",L42,"-",TEXT(B42,"mm/dd/yyyy"))</f>
        <v>000261735:3 Mountain Bikes-12/13/2021</v>
      </c>
      <c r="W42" t="str">
        <f>+CONCATENATE(A42,":",L42)</f>
        <v>000261735:Mountain Bikes</v>
      </c>
    </row>
    <row r="43" spans="1:23" x14ac:dyDescent="0.25">
      <c r="A43" s="1" t="s">
        <v>98</v>
      </c>
      <c r="B43" s="2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99</v>
      </c>
      <c r="N43">
        <v>1</v>
      </c>
      <c r="O43" s="3">
        <v>308</v>
      </c>
      <c r="P43" s="3">
        <v>565</v>
      </c>
      <c r="Q43" s="3">
        <v>257</v>
      </c>
      <c r="R43" s="3">
        <v>308</v>
      </c>
      <c r="S43" s="3">
        <v>565</v>
      </c>
      <c r="T43" t="s">
        <v>198</v>
      </c>
      <c r="V43" s="4" t="str">
        <f>+CONCATENATE(A43,":",N43," ",L43,"-",TEXT(B43,"mm/dd/yyyy"))</f>
        <v>000261736:1 Mountain Bikes-12/13/2021</v>
      </c>
      <c r="W43" t="str">
        <f>+CONCATENATE(A43,":",L43)</f>
        <v>000261736:Mountain Bikes</v>
      </c>
    </row>
    <row r="44" spans="1:23" x14ac:dyDescent="0.25">
      <c r="A44" s="1" t="s">
        <v>100</v>
      </c>
      <c r="B44" s="2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t="s">
        <v>43</v>
      </c>
      <c r="N44">
        <v>1</v>
      </c>
      <c r="O44" s="3">
        <v>1252</v>
      </c>
      <c r="P44" s="3">
        <v>2295</v>
      </c>
      <c r="Q44" s="3">
        <v>1043</v>
      </c>
      <c r="R44" s="3">
        <v>1252</v>
      </c>
      <c r="S44" s="3">
        <v>2295</v>
      </c>
      <c r="T44" t="s">
        <v>199</v>
      </c>
      <c r="V44" s="4" t="str">
        <f>+CONCATENATE(A44,":",N44," ",L44,"-",TEXT(B44,"mm/dd/yyyy"))</f>
        <v>000261737:1 Mountain Bikes-12/13/2021</v>
      </c>
      <c r="W44" t="str">
        <f>+CONCATENATE(A44,":",L44)</f>
        <v>000261737:Mountain Bikes</v>
      </c>
    </row>
    <row r="45" spans="1:23" x14ac:dyDescent="0.25">
      <c r="A45" s="1" t="s">
        <v>101</v>
      </c>
      <c r="B45" s="2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t="s">
        <v>43</v>
      </c>
      <c r="N45">
        <v>1</v>
      </c>
      <c r="O45" s="3">
        <v>1252</v>
      </c>
      <c r="P45" s="3">
        <v>2295</v>
      </c>
      <c r="Q45" s="3">
        <v>1043</v>
      </c>
      <c r="R45" s="3">
        <v>1252</v>
      </c>
      <c r="S45" s="3">
        <v>2295</v>
      </c>
      <c r="T45" t="s">
        <v>200</v>
      </c>
      <c r="V45" s="4" t="str">
        <f>+CONCATENATE(A45,":",N45," ",L45,"-",TEXT(B45,"mm/dd/yyyy"))</f>
        <v>000261738:1 Mountain Bikes-12/13/2021</v>
      </c>
      <c r="W45" t="str">
        <f>+CONCATENATE(A45,":",L45)</f>
        <v>000261738:Mountain Bikes</v>
      </c>
    </row>
    <row r="46" spans="1:23" x14ac:dyDescent="0.25">
      <c r="A46" s="1" t="s">
        <v>102</v>
      </c>
      <c r="B46" s="2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t="s">
        <v>53</v>
      </c>
      <c r="N46">
        <v>2</v>
      </c>
      <c r="O46" s="3">
        <v>1266</v>
      </c>
      <c r="P46" s="3">
        <v>2320</v>
      </c>
      <c r="Q46" s="3">
        <v>2108</v>
      </c>
      <c r="R46" s="3">
        <v>2532</v>
      </c>
      <c r="S46" s="3">
        <v>4640</v>
      </c>
      <c r="T46" t="s">
        <v>201</v>
      </c>
      <c r="V46" s="4" t="str">
        <f>+CONCATENATE(A46,":",N46," ",L46,"-",TEXT(B46,"mm/dd/yyyy"))</f>
        <v>000261739:2 Mountain Bikes-12/14/2021</v>
      </c>
      <c r="W46" t="str">
        <f>+CONCATENATE(A46,":",L46)</f>
        <v>000261739:Mountain Bikes</v>
      </c>
    </row>
    <row r="47" spans="1:23" x14ac:dyDescent="0.25">
      <c r="A47" s="1" t="s">
        <v>103</v>
      </c>
      <c r="B47" s="2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>
        <v>1</v>
      </c>
      <c r="O47" s="3">
        <v>1252</v>
      </c>
      <c r="P47" s="3">
        <v>2295</v>
      </c>
      <c r="Q47" s="3">
        <v>1043</v>
      </c>
      <c r="R47" s="3">
        <v>1252</v>
      </c>
      <c r="S47" s="3">
        <v>2295</v>
      </c>
      <c r="T47" t="s">
        <v>202</v>
      </c>
      <c r="V47" s="4" t="str">
        <f>+CONCATENATE(A47,":",N47," ",L47,"-",TEXT(B47,"mm/dd/yyyy"))</f>
        <v>000261740:1 Mountain Bikes-12/14/2021</v>
      </c>
      <c r="W47" t="str">
        <f>+CONCATENATE(A47,":",L47)</f>
        <v>000261740:Mountain Bikes</v>
      </c>
    </row>
    <row r="48" spans="1:23" x14ac:dyDescent="0.25">
      <c r="A48" s="1" t="s">
        <v>104</v>
      </c>
      <c r="B48" s="2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t="s">
        <v>34</v>
      </c>
      <c r="N48">
        <v>1</v>
      </c>
      <c r="O48" s="3">
        <v>420</v>
      </c>
      <c r="P48" s="3">
        <v>769</v>
      </c>
      <c r="Q48" s="3">
        <v>349</v>
      </c>
      <c r="R48" s="3">
        <v>420</v>
      </c>
      <c r="S48" s="3">
        <v>769</v>
      </c>
      <c r="T48" t="s">
        <v>203</v>
      </c>
      <c r="V48" s="4" t="str">
        <f>+CONCATENATE(A48,":",N48," ",L48,"-",TEXT(B48,"mm/dd/yyyy"))</f>
        <v>000261741:1 Mountain Bikes-12/14/2021</v>
      </c>
      <c r="W48" t="str">
        <f>+CONCATENATE(A48,":",L48)</f>
        <v>000261741:Mountain Bikes</v>
      </c>
    </row>
    <row r="49" spans="1:23" x14ac:dyDescent="0.25">
      <c r="A49" s="1" t="s">
        <v>105</v>
      </c>
      <c r="B49" s="2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32</v>
      </c>
      <c r="N49">
        <v>1</v>
      </c>
      <c r="O49" s="3">
        <v>1266</v>
      </c>
      <c r="P49" s="3">
        <v>2320</v>
      </c>
      <c r="Q49" s="3">
        <v>1054</v>
      </c>
      <c r="R49" s="3">
        <v>1266</v>
      </c>
      <c r="S49" s="3">
        <v>2320</v>
      </c>
      <c r="T49" t="s">
        <v>204</v>
      </c>
      <c r="V49" s="4" t="str">
        <f>+CONCATENATE(A49,":",N49," ",L49,"-",TEXT(B49,"mm/dd/yyyy"))</f>
        <v>000261742:1 Mountain Bikes-12/15/2021</v>
      </c>
      <c r="W49" t="str">
        <f>+CONCATENATE(A49,":",L49)</f>
        <v>000261742:Mountain Bikes</v>
      </c>
    </row>
    <row r="50" spans="1:23" x14ac:dyDescent="0.25">
      <c r="A50" s="1" t="s">
        <v>106</v>
      </c>
      <c r="B50" s="2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t="s">
        <v>43</v>
      </c>
      <c r="N50">
        <v>2</v>
      </c>
      <c r="O50" s="3">
        <v>1252</v>
      </c>
      <c r="P50" s="3">
        <v>2295</v>
      </c>
      <c r="Q50" s="3">
        <v>2086</v>
      </c>
      <c r="R50" s="3">
        <v>2504</v>
      </c>
      <c r="S50" s="3">
        <v>4590</v>
      </c>
      <c r="T50" t="s">
        <v>205</v>
      </c>
      <c r="V50" s="4" t="str">
        <f>+CONCATENATE(A50,":",N50," ",L50,"-",TEXT(B50,"mm/dd/yyyy"))</f>
        <v>000261743:2 Mountain Bikes-12/16/2021</v>
      </c>
      <c r="W50" t="str">
        <f>+CONCATENATE(A50,":",L50)</f>
        <v>000261743:Mountain Bikes</v>
      </c>
    </row>
    <row r="51" spans="1:23" x14ac:dyDescent="0.25">
      <c r="A51" s="1" t="s">
        <v>107</v>
      </c>
      <c r="B51" s="2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t="s">
        <v>43</v>
      </c>
      <c r="N51">
        <v>2</v>
      </c>
      <c r="O51" s="3">
        <v>1252</v>
      </c>
      <c r="P51" s="3">
        <v>2295</v>
      </c>
      <c r="Q51" s="3">
        <v>2086</v>
      </c>
      <c r="R51" s="3">
        <v>2504</v>
      </c>
      <c r="S51" s="3">
        <v>4590</v>
      </c>
      <c r="T51" t="s">
        <v>206</v>
      </c>
      <c r="V51" s="4" t="str">
        <f>+CONCATENATE(A51,":",N51," ",L51,"-",TEXT(B51,"mm/dd/yyyy"))</f>
        <v>000261744:2 Mountain Bikes-12/16/2021</v>
      </c>
      <c r="W51" t="str">
        <f>+CONCATENATE(A51,":",L51)</f>
        <v>000261744:Mountain Bikes</v>
      </c>
    </row>
    <row r="52" spans="1:23" x14ac:dyDescent="0.25">
      <c r="A52" s="1" t="s">
        <v>108</v>
      </c>
      <c r="B52" s="2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t="s">
        <v>110</v>
      </c>
      <c r="N52">
        <v>1</v>
      </c>
      <c r="O52" s="3">
        <v>1266</v>
      </c>
      <c r="P52" s="3">
        <v>2320</v>
      </c>
      <c r="Q52" s="3">
        <v>1054</v>
      </c>
      <c r="R52" s="3">
        <v>1266</v>
      </c>
      <c r="S52" s="3">
        <v>2320</v>
      </c>
      <c r="T52" t="s">
        <v>207</v>
      </c>
      <c r="V52" s="4" t="str">
        <f>+CONCATENATE(A52,":",N52," ",L52,"-",TEXT(B52,"mm/dd/yyyy"))</f>
        <v>000261745:1 Mountain Bikes-12/16/2021</v>
      </c>
      <c r="W52" t="str">
        <f>+CONCATENATE(A52,":",L52)</f>
        <v>000261745:Mountain Bikes</v>
      </c>
    </row>
    <row r="53" spans="1:23" x14ac:dyDescent="0.25">
      <c r="A53" s="1" t="s">
        <v>111</v>
      </c>
      <c r="B53" s="2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t="s">
        <v>53</v>
      </c>
      <c r="N53">
        <v>2</v>
      </c>
      <c r="O53" s="3">
        <v>1266</v>
      </c>
      <c r="P53" s="3">
        <v>2320</v>
      </c>
      <c r="Q53" s="3">
        <v>2108</v>
      </c>
      <c r="R53" s="3">
        <v>2532</v>
      </c>
      <c r="S53" s="3">
        <v>4640</v>
      </c>
      <c r="T53" t="s">
        <v>208</v>
      </c>
      <c r="V53" s="4" t="str">
        <f>+CONCATENATE(A53,":",N53," ",L53,"-",TEXT(B53,"mm/dd/yyyy"))</f>
        <v>000261746:2 Mountain Bikes-12/17/2021</v>
      </c>
      <c r="W53" t="str">
        <f>+CONCATENATE(A53,":",L53)</f>
        <v>000261746:Mountain Bikes</v>
      </c>
    </row>
    <row r="54" spans="1:23" x14ac:dyDescent="0.25">
      <c r="A54" s="1" t="s">
        <v>112</v>
      </c>
      <c r="B54" s="2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t="s">
        <v>39</v>
      </c>
      <c r="N54">
        <v>1</v>
      </c>
      <c r="O54" s="3">
        <v>420</v>
      </c>
      <c r="P54" s="3">
        <v>769</v>
      </c>
      <c r="Q54" s="3">
        <v>349</v>
      </c>
      <c r="R54" s="3">
        <v>420</v>
      </c>
      <c r="S54" s="3">
        <v>769</v>
      </c>
      <c r="T54" t="s">
        <v>209</v>
      </c>
      <c r="V54" s="4" t="str">
        <f>+CONCATENATE(A54,":",N54," ",L54,"-",TEXT(B54,"mm/dd/yyyy"))</f>
        <v>000261747:1 Mountain Bikes-12/17/2021</v>
      </c>
      <c r="W54" t="str">
        <f>+CONCATENATE(A54,":",L54)</f>
        <v>000261747:Mountain Bikes</v>
      </c>
    </row>
    <row r="55" spans="1:23" x14ac:dyDescent="0.25">
      <c r="A55" s="1" t="s">
        <v>113</v>
      </c>
      <c r="B55" s="2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t="s">
        <v>110</v>
      </c>
      <c r="N55">
        <v>1</v>
      </c>
      <c r="O55" s="3">
        <v>1266</v>
      </c>
      <c r="P55" s="3">
        <v>2320</v>
      </c>
      <c r="Q55" s="3">
        <v>1054</v>
      </c>
      <c r="R55" s="3">
        <v>1266</v>
      </c>
      <c r="S55" s="3">
        <v>2320</v>
      </c>
      <c r="T55" t="s">
        <v>210</v>
      </c>
      <c r="V55" s="4" t="str">
        <f>+CONCATENATE(A55,":",N55," ",L55,"-",TEXT(B55,"mm/dd/yyyy"))</f>
        <v>000261748:1 Mountain Bikes-12/17/2021</v>
      </c>
      <c r="W55" t="str">
        <f>+CONCATENATE(A55,":",L55)</f>
        <v>000261748:Mountain Bikes</v>
      </c>
    </row>
    <row r="56" spans="1:23" x14ac:dyDescent="0.25">
      <c r="A56" s="1" t="s">
        <v>114</v>
      </c>
      <c r="B56" s="2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t="s">
        <v>66</v>
      </c>
      <c r="N56">
        <v>4</v>
      </c>
      <c r="O56" s="3">
        <v>308</v>
      </c>
      <c r="P56" s="3">
        <v>565</v>
      </c>
      <c r="Q56" s="3">
        <v>1028</v>
      </c>
      <c r="R56" s="3">
        <v>1232</v>
      </c>
      <c r="S56" s="3">
        <v>2260</v>
      </c>
      <c r="T56" t="s">
        <v>211</v>
      </c>
      <c r="V56" s="4" t="str">
        <f>+CONCATENATE(A56,":",N56," ",L56,"-",TEXT(B56,"mm/dd/yyyy"))</f>
        <v>000261749:4 Mountain Bikes-12/18/2021</v>
      </c>
      <c r="W56" t="str">
        <f>+CONCATENATE(A56,":",L56)</f>
        <v>000261749:Mountain Bikes</v>
      </c>
    </row>
    <row r="57" spans="1:23" x14ac:dyDescent="0.25">
      <c r="A57" s="1" t="s">
        <v>115</v>
      </c>
      <c r="B57" s="2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t="s">
        <v>110</v>
      </c>
      <c r="N57">
        <v>4</v>
      </c>
      <c r="O57" s="3">
        <v>1266</v>
      </c>
      <c r="P57" s="3">
        <v>2320</v>
      </c>
      <c r="Q57" s="3">
        <v>4216</v>
      </c>
      <c r="R57" s="3">
        <v>5064</v>
      </c>
      <c r="S57" s="3">
        <v>9280</v>
      </c>
      <c r="T57" t="s">
        <v>212</v>
      </c>
      <c r="V57" s="4" t="str">
        <f>+CONCATENATE(A57,":",N57," ",L57,"-",TEXT(B57,"mm/dd/yyyy"))</f>
        <v>000261750:4 Mountain Bikes-12/18/2021</v>
      </c>
      <c r="W57" t="str">
        <f>+CONCATENATE(A57,":",L57)</f>
        <v>000261750:Mountain Bikes</v>
      </c>
    </row>
    <row r="58" spans="1:23" x14ac:dyDescent="0.25">
      <c r="A58" s="1" t="s">
        <v>116</v>
      </c>
      <c r="B58" s="2">
        <v>44548</v>
      </c>
      <c r="C58">
        <v>18</v>
      </c>
      <c r="D58" t="s">
        <v>20</v>
      </c>
      <c r="E58">
        <v>2021</v>
      </c>
      <c r="F58">
        <v>24</v>
      </c>
      <c r="G5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t="s">
        <v>53</v>
      </c>
      <c r="N58">
        <v>3</v>
      </c>
      <c r="O58" s="3">
        <v>1266</v>
      </c>
      <c r="P58" s="3">
        <v>2320</v>
      </c>
      <c r="Q58" s="3">
        <v>3162</v>
      </c>
      <c r="R58" s="3">
        <v>3798</v>
      </c>
      <c r="S58" s="3">
        <v>6960</v>
      </c>
      <c r="T58" t="s">
        <v>213</v>
      </c>
      <c r="V58" s="4" t="str">
        <f>+CONCATENATE(A58,":",N58," ",L58,"-",TEXT(B58,"mm/dd/yyyy"))</f>
        <v>000261751:3 Mountain Bikes-12/18/2021</v>
      </c>
      <c r="W58" t="str">
        <f>+CONCATENATE(A58,":",L58)</f>
        <v>000261751:Mountain Bikes</v>
      </c>
    </row>
    <row r="59" spans="1:23" x14ac:dyDescent="0.25">
      <c r="A59" s="1" t="s">
        <v>118</v>
      </c>
      <c r="B59" s="2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t="s">
        <v>39</v>
      </c>
      <c r="N59">
        <v>3</v>
      </c>
      <c r="O59" s="3">
        <v>420</v>
      </c>
      <c r="P59" s="3">
        <v>769</v>
      </c>
      <c r="Q59" s="3">
        <v>1047</v>
      </c>
      <c r="R59" s="3">
        <v>1260</v>
      </c>
      <c r="S59" s="3">
        <v>2307</v>
      </c>
      <c r="T59" t="s">
        <v>214</v>
      </c>
      <c r="V59" s="4" t="str">
        <f>+CONCATENATE(A59,":",N59," ",L59,"-",TEXT(B59,"mm/dd/yyyy"))</f>
        <v>000261752:3 Mountain Bikes-12/18/2021</v>
      </c>
      <c r="W59" t="str">
        <f>+CONCATENATE(A59,":",L59)</f>
        <v>000261752:Mountain Bikes</v>
      </c>
    </row>
    <row r="60" spans="1:23" x14ac:dyDescent="0.25">
      <c r="A60" s="1" t="s">
        <v>119</v>
      </c>
      <c r="B60" s="2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t="s">
        <v>60</v>
      </c>
      <c r="N60">
        <v>3</v>
      </c>
      <c r="O60" s="3">
        <v>1252</v>
      </c>
      <c r="P60" s="3">
        <v>2295</v>
      </c>
      <c r="Q60" s="3">
        <v>3129</v>
      </c>
      <c r="R60" s="3">
        <v>3756</v>
      </c>
      <c r="S60" s="3">
        <v>6885</v>
      </c>
      <c r="T60" t="s">
        <v>215</v>
      </c>
      <c r="V60" s="4" t="str">
        <f>+CONCATENATE(A60,":",N60," ",L60,"-",TEXT(B60,"mm/dd/yyyy"))</f>
        <v>000261753:3 Mountain Bikes-12/18/2021</v>
      </c>
      <c r="W60" t="str">
        <f>+CONCATENATE(A60,":",L60)</f>
        <v>000261753:Mountain Bikes</v>
      </c>
    </row>
    <row r="61" spans="1:23" x14ac:dyDescent="0.25">
      <c r="A61" s="1" t="s">
        <v>120</v>
      </c>
      <c r="B61" s="2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t="s">
        <v>27</v>
      </c>
      <c r="N61">
        <v>1</v>
      </c>
      <c r="O61" s="3">
        <v>1252</v>
      </c>
      <c r="P61" s="3">
        <v>2295</v>
      </c>
      <c r="Q61" s="3">
        <v>1043</v>
      </c>
      <c r="R61" s="3">
        <v>1252</v>
      </c>
      <c r="S61" s="3">
        <v>2295</v>
      </c>
      <c r="T61" t="s">
        <v>216</v>
      </c>
      <c r="V61" s="4" t="str">
        <f>+CONCATENATE(A61,":",N61," ",L61,"-",TEXT(B61,"mm/dd/yyyy"))</f>
        <v>000261754:1 Mountain Bikes-12/18/2021</v>
      </c>
      <c r="W61" t="str">
        <f>+CONCATENATE(A61,":",L61)</f>
        <v>000261754:Mountain Bikes</v>
      </c>
    </row>
    <row r="62" spans="1:23" x14ac:dyDescent="0.25">
      <c r="A62" s="1" t="s">
        <v>121</v>
      </c>
      <c r="B62" s="2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t="s">
        <v>53</v>
      </c>
      <c r="N62">
        <v>1</v>
      </c>
      <c r="O62" s="3">
        <v>1266</v>
      </c>
      <c r="P62" s="3">
        <v>2320</v>
      </c>
      <c r="Q62" s="3">
        <v>1054</v>
      </c>
      <c r="R62" s="3">
        <v>1266</v>
      </c>
      <c r="S62" s="3">
        <v>2320</v>
      </c>
      <c r="T62" t="s">
        <v>217</v>
      </c>
      <c r="V62" s="4" t="str">
        <f>+CONCATENATE(A62,":",N62," ",L62,"-",TEXT(B62,"mm/dd/yyyy"))</f>
        <v>000261755:1 Mountain Bikes-12/18/2021</v>
      </c>
      <c r="W62" t="str">
        <f>+CONCATENATE(A62,":",L62)</f>
        <v>000261755:Mountain Bikes</v>
      </c>
    </row>
    <row r="63" spans="1:23" x14ac:dyDescent="0.25">
      <c r="A63" s="1" t="s">
        <v>122</v>
      </c>
      <c r="B63" s="2">
        <v>44549</v>
      </c>
      <c r="C63">
        <v>19</v>
      </c>
      <c r="D63" t="s">
        <v>20</v>
      </c>
      <c r="E63">
        <v>2021</v>
      </c>
      <c r="F63">
        <v>17</v>
      </c>
      <c r="G63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t="s">
        <v>110</v>
      </c>
      <c r="N63">
        <v>4</v>
      </c>
      <c r="O63" s="3">
        <v>1266</v>
      </c>
      <c r="P63" s="3">
        <v>2320</v>
      </c>
      <c r="Q63" s="3">
        <v>4216</v>
      </c>
      <c r="R63" s="3">
        <v>5064</v>
      </c>
      <c r="S63" s="3">
        <v>9280</v>
      </c>
      <c r="T63" t="s">
        <v>218</v>
      </c>
      <c r="V63" s="4" t="str">
        <f>+CONCATENATE(A63,":",N63," ",L63,"-",TEXT(B63,"mm/dd/yyyy"))</f>
        <v>000261756:4 Mountain Bikes-12/19/2021</v>
      </c>
      <c r="W63" t="str">
        <f>+CONCATENATE(A63,":",L63)</f>
        <v>000261756:Mountain Bikes</v>
      </c>
    </row>
    <row r="64" spans="1:23" x14ac:dyDescent="0.25">
      <c r="A64" s="1" t="s">
        <v>124</v>
      </c>
      <c r="B64" s="2">
        <v>44549</v>
      </c>
      <c r="C64">
        <v>19</v>
      </c>
      <c r="D64" t="s">
        <v>20</v>
      </c>
      <c r="E64">
        <v>2021</v>
      </c>
      <c r="F64">
        <v>19</v>
      </c>
      <c r="G64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t="s">
        <v>125</v>
      </c>
      <c r="N64">
        <v>4</v>
      </c>
      <c r="O64" s="3">
        <v>295</v>
      </c>
      <c r="P64" s="3">
        <v>540</v>
      </c>
      <c r="Q64" s="3">
        <v>980</v>
      </c>
      <c r="R64" s="3">
        <v>1180</v>
      </c>
      <c r="S64" s="3">
        <v>2160</v>
      </c>
      <c r="T64" t="s">
        <v>219</v>
      </c>
      <c r="V64" s="4" t="str">
        <f>+CONCATENATE(A64,":",N64," ",L64,"-",TEXT(B64,"mm/dd/yyyy"))</f>
        <v>000261757:4 Mountain Bikes-12/19/2021</v>
      </c>
      <c r="W64" t="str">
        <f>+CONCATENATE(A64,":",L64)</f>
        <v>000261757:Mountain Bikes</v>
      </c>
    </row>
    <row r="65" spans="1:23" x14ac:dyDescent="0.25">
      <c r="A65" s="1" t="s">
        <v>126</v>
      </c>
      <c r="B65" s="2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t="s">
        <v>43</v>
      </c>
      <c r="N65">
        <v>4</v>
      </c>
      <c r="O65" s="3">
        <v>1252</v>
      </c>
      <c r="P65" s="3">
        <v>2295</v>
      </c>
      <c r="Q65" s="3">
        <v>4172</v>
      </c>
      <c r="R65" s="3">
        <v>5008</v>
      </c>
      <c r="S65" s="3">
        <v>9180</v>
      </c>
      <c r="T65" t="s">
        <v>220</v>
      </c>
      <c r="V65" s="4" t="str">
        <f>+CONCATENATE(A65,":",N65," ",L65,"-",TEXT(B65,"mm/dd/yyyy"))</f>
        <v>000261758:4 Mountain Bikes-12/19/2021</v>
      </c>
      <c r="W65" t="str">
        <f>+CONCATENATE(A65,":",L65)</f>
        <v>000261758:Mountain Bikes</v>
      </c>
    </row>
    <row r="66" spans="1:23" x14ac:dyDescent="0.25">
      <c r="A66" s="1" t="s">
        <v>127</v>
      </c>
      <c r="B66" s="2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t="s">
        <v>128</v>
      </c>
      <c r="N66">
        <v>4</v>
      </c>
      <c r="O66" s="3">
        <v>1898</v>
      </c>
      <c r="P66" s="3">
        <v>3375</v>
      </c>
      <c r="Q66" s="3">
        <v>5908</v>
      </c>
      <c r="R66" s="3">
        <v>7592</v>
      </c>
      <c r="S66" s="3">
        <v>13500</v>
      </c>
      <c r="T66" t="s">
        <v>221</v>
      </c>
      <c r="V66" s="4" t="str">
        <f>+CONCATENATE(A66,":",N66," ",L66,"-",TEXT(B66,"mm/dd/yyyy"))</f>
        <v>000261759:4 Mountain Bikes-12/19/2021</v>
      </c>
      <c r="W66" t="str">
        <f>+CONCATENATE(A66,":",L66)</f>
        <v>000261759:Mountain Bikes</v>
      </c>
    </row>
    <row r="67" spans="1:23" x14ac:dyDescent="0.25">
      <c r="A67" s="1" t="s">
        <v>129</v>
      </c>
      <c r="B67" s="2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t="s">
        <v>43</v>
      </c>
      <c r="N67">
        <v>4</v>
      </c>
      <c r="O67" s="3">
        <v>1252</v>
      </c>
      <c r="P67" s="3">
        <v>2295</v>
      </c>
      <c r="Q67" s="3">
        <v>4172</v>
      </c>
      <c r="R67" s="3">
        <v>5008</v>
      </c>
      <c r="S67" s="3">
        <v>9180</v>
      </c>
      <c r="T67" t="s">
        <v>222</v>
      </c>
      <c r="V67" s="4" t="str">
        <f>+CONCATENATE(A67,":",N67," ",L67,"-",TEXT(B67,"mm/dd/yyyy"))</f>
        <v>000261760:4 Mountain Bikes-12/19/2021</v>
      </c>
      <c r="W67" t="str">
        <f>+CONCATENATE(A67,":",L67)</f>
        <v>000261760:Mountain Bikes</v>
      </c>
    </row>
    <row r="68" spans="1:23" x14ac:dyDescent="0.25">
      <c r="A68" s="1" t="s">
        <v>130</v>
      </c>
      <c r="B68" s="2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>
        <v>4</v>
      </c>
      <c r="O68" s="3">
        <v>1252</v>
      </c>
      <c r="P68" s="3">
        <v>2295</v>
      </c>
      <c r="Q68" s="3">
        <v>4172</v>
      </c>
      <c r="R68" s="3">
        <v>5008</v>
      </c>
      <c r="S68" s="3">
        <v>9180</v>
      </c>
      <c r="T68" t="s">
        <v>223</v>
      </c>
      <c r="V68" s="4" t="str">
        <f>+CONCATENATE(A68,":",N68," ",L68,"-",TEXT(B68,"mm/dd/yyyy"))</f>
        <v>000261761:4 Mountain Bikes-12/19/2021</v>
      </c>
      <c r="W68" t="str">
        <f>+CONCATENATE(A68,":",L68)</f>
        <v>000261761:Mountain Bikes</v>
      </c>
    </row>
    <row r="69" spans="1:23" x14ac:dyDescent="0.25">
      <c r="A69" s="1" t="s">
        <v>131</v>
      </c>
      <c r="B69" s="2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t="s">
        <v>27</v>
      </c>
      <c r="N69">
        <v>4</v>
      </c>
      <c r="O69" s="3">
        <v>1252</v>
      </c>
      <c r="P69" s="3">
        <v>2295</v>
      </c>
      <c r="Q69" s="3">
        <v>4172</v>
      </c>
      <c r="R69" s="3">
        <v>5008</v>
      </c>
      <c r="S69" s="3">
        <v>9180</v>
      </c>
      <c r="T69" t="s">
        <v>224</v>
      </c>
      <c r="V69" s="4" t="str">
        <f>+CONCATENATE(A69,":",N69," ",L69,"-",TEXT(B69,"mm/dd/yyyy"))</f>
        <v>000261762:4 Mountain Bikes-12/19/2021</v>
      </c>
      <c r="W69" t="str">
        <f>+CONCATENATE(A69,":",L69)</f>
        <v>000261762:Mountain Bikes</v>
      </c>
    </row>
    <row r="70" spans="1:23" x14ac:dyDescent="0.25">
      <c r="A70" s="1" t="s">
        <v>132</v>
      </c>
      <c r="B70" s="2">
        <v>44549</v>
      </c>
      <c r="C70">
        <v>19</v>
      </c>
      <c r="D70" t="s">
        <v>20</v>
      </c>
      <c r="E70">
        <v>2021</v>
      </c>
      <c r="F70">
        <v>18</v>
      </c>
      <c r="G70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t="s">
        <v>81</v>
      </c>
      <c r="N70">
        <v>2</v>
      </c>
      <c r="O70" s="3">
        <v>295</v>
      </c>
      <c r="P70" s="3">
        <v>540</v>
      </c>
      <c r="Q70" s="3">
        <v>490</v>
      </c>
      <c r="R70" s="3">
        <v>590</v>
      </c>
      <c r="S70" s="3">
        <v>1080</v>
      </c>
      <c r="T70" t="s">
        <v>225</v>
      </c>
      <c r="V70" s="4" t="str">
        <f>+CONCATENATE(A70,":",N70," ",L70,"-",TEXT(B70,"mm/dd/yyyy"))</f>
        <v>000261763:2 Mountain Bikes-12/19/2021</v>
      </c>
      <c r="W70" t="str">
        <f>+CONCATENATE(A70,":",L70)</f>
        <v>000261763:Mountain Bikes</v>
      </c>
    </row>
    <row r="71" spans="1:23" x14ac:dyDescent="0.25">
      <c r="A71" s="1" t="s">
        <v>134</v>
      </c>
      <c r="B71" s="2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t="s">
        <v>27</v>
      </c>
      <c r="N71">
        <v>2</v>
      </c>
      <c r="O71" s="3">
        <v>1252</v>
      </c>
      <c r="P71" s="3">
        <v>2295</v>
      </c>
      <c r="Q71" s="3">
        <v>2086</v>
      </c>
      <c r="R71" s="3">
        <v>2504</v>
      </c>
      <c r="S71" s="3">
        <v>4590</v>
      </c>
      <c r="T71" t="s">
        <v>226</v>
      </c>
      <c r="V71" s="4" t="str">
        <f>+CONCATENATE(A71,":",N71," ",L71,"-",TEXT(B71,"mm/dd/yyyy"))</f>
        <v>000261764:2 Mountain Bikes-12/19/2021</v>
      </c>
      <c r="W71" t="str">
        <f>+CONCATENATE(A71,":",L71)</f>
        <v>000261764:Mountain Bikes</v>
      </c>
    </row>
    <row r="72" spans="1:23" x14ac:dyDescent="0.25">
      <c r="A72" s="1" t="s">
        <v>136</v>
      </c>
      <c r="B72" s="2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t="s">
        <v>53</v>
      </c>
      <c r="N72">
        <v>1</v>
      </c>
      <c r="O72" s="3">
        <v>1266</v>
      </c>
      <c r="P72" s="3">
        <v>2320</v>
      </c>
      <c r="Q72" s="3">
        <v>1054</v>
      </c>
      <c r="R72" s="3">
        <v>1266</v>
      </c>
      <c r="S72" s="3">
        <v>2320</v>
      </c>
      <c r="T72" t="s">
        <v>227</v>
      </c>
      <c r="V72" s="4" t="str">
        <f>+CONCATENATE(A72,":",N72," ",L72,"-",TEXT(B72,"mm/dd/yyyy"))</f>
        <v>000261765:1 Mountain Bikes-12/19/2021</v>
      </c>
      <c r="W72" t="str">
        <f>+CONCATENATE(A72,":",L72)</f>
        <v>000261765:Mountain Bikes</v>
      </c>
    </row>
    <row r="73" spans="1:23" x14ac:dyDescent="0.25">
      <c r="A73" s="1" t="s">
        <v>137</v>
      </c>
      <c r="B73" s="2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t="s">
        <v>74</v>
      </c>
      <c r="N73">
        <v>4</v>
      </c>
      <c r="O73" s="3">
        <v>1898</v>
      </c>
      <c r="P73" s="3">
        <v>3375</v>
      </c>
      <c r="Q73" s="3">
        <v>5908</v>
      </c>
      <c r="R73" s="3">
        <v>7592</v>
      </c>
      <c r="S73" s="3">
        <v>13500</v>
      </c>
      <c r="T73" t="s">
        <v>228</v>
      </c>
      <c r="V73" s="4" t="str">
        <f>+CONCATENATE(A73,":",N73," ",L73,"-",TEXT(B73,"mm/dd/yyyy"))</f>
        <v>000261766:4 Mountain Bikes-12/20/2021</v>
      </c>
      <c r="W73" t="str">
        <f>+CONCATENATE(A73,":",L73)</f>
        <v>000261766:Mountain Bikes</v>
      </c>
    </row>
    <row r="74" spans="1:23" x14ac:dyDescent="0.25">
      <c r="A74" s="1" t="s">
        <v>138</v>
      </c>
      <c r="B74" s="2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t="s">
        <v>27</v>
      </c>
      <c r="N74">
        <v>4</v>
      </c>
      <c r="O74" s="3">
        <v>1252</v>
      </c>
      <c r="P74" s="3">
        <v>2295</v>
      </c>
      <c r="Q74" s="3">
        <v>4172</v>
      </c>
      <c r="R74" s="3">
        <v>5008</v>
      </c>
      <c r="S74" s="3">
        <v>9180</v>
      </c>
      <c r="T74" t="s">
        <v>229</v>
      </c>
      <c r="V74" s="4" t="str">
        <f>+CONCATENATE(A74,":",N74," ",L74,"-",TEXT(B74,"mm/dd/yyyy"))</f>
        <v>000261767:4 Mountain Bikes-12/20/2021</v>
      </c>
      <c r="W74" t="str">
        <f>+CONCATENATE(A74,":",L74)</f>
        <v>000261767:Mountain Bikes</v>
      </c>
    </row>
    <row r="75" spans="1:23" x14ac:dyDescent="0.25">
      <c r="A75" s="1" t="s">
        <v>139</v>
      </c>
      <c r="B75" s="2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t="s">
        <v>140</v>
      </c>
      <c r="N75">
        <v>3</v>
      </c>
      <c r="O75" s="3">
        <v>295</v>
      </c>
      <c r="P75" s="3">
        <v>540</v>
      </c>
      <c r="Q75" s="3">
        <v>735</v>
      </c>
      <c r="R75" s="3">
        <v>885</v>
      </c>
      <c r="S75" s="3">
        <v>1620</v>
      </c>
      <c r="T75" t="s">
        <v>230</v>
      </c>
      <c r="V75" s="4" t="str">
        <f>+CONCATENATE(A75,":",N75," ",L75,"-",TEXT(B75,"mm/dd/yyyy"))</f>
        <v>000261768:3 Mountain Bikes-12/20/2021</v>
      </c>
      <c r="W75" t="str">
        <f>+CONCATENATE(A75,":",L75)</f>
        <v>000261768:Mountain Bikes</v>
      </c>
    </row>
    <row r="76" spans="1:23" x14ac:dyDescent="0.25">
      <c r="A76" s="1" t="s">
        <v>141</v>
      </c>
      <c r="B76" s="2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t="s">
        <v>53</v>
      </c>
      <c r="N76">
        <v>1</v>
      </c>
      <c r="O76" s="3">
        <v>1266</v>
      </c>
      <c r="P76" s="3">
        <v>2320</v>
      </c>
      <c r="Q76" s="3">
        <v>1054</v>
      </c>
      <c r="R76" s="3">
        <v>1266</v>
      </c>
      <c r="S76" s="3">
        <v>2320</v>
      </c>
      <c r="T76" t="s">
        <v>231</v>
      </c>
      <c r="V76" s="4" t="str">
        <f>+CONCATENATE(A76,":",N76," ",L76,"-",TEXT(B76,"mm/dd/yyyy"))</f>
        <v>000261769:1 Mountain Bikes-12/20/2021</v>
      </c>
      <c r="W76" t="str">
        <f>+CONCATENATE(A76,":",L76)</f>
        <v>000261769:Mountain Bikes</v>
      </c>
    </row>
    <row r="77" spans="1:23" x14ac:dyDescent="0.25">
      <c r="A77" s="1" t="s">
        <v>142</v>
      </c>
      <c r="B77" s="2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t="s">
        <v>53</v>
      </c>
      <c r="N77">
        <v>1</v>
      </c>
      <c r="O77" s="3">
        <v>1266</v>
      </c>
      <c r="P77" s="3">
        <v>2320</v>
      </c>
      <c r="Q77" s="3">
        <v>1054</v>
      </c>
      <c r="R77" s="3">
        <v>1266</v>
      </c>
      <c r="S77" s="3">
        <v>2320</v>
      </c>
      <c r="T77" t="s">
        <v>232</v>
      </c>
      <c r="V77" s="4" t="str">
        <f>+CONCATENATE(A77,":",N77," ",L77,"-",TEXT(B77,"mm/dd/yyyy"))</f>
        <v>000261770:1 Mountain Bikes-12/20/2021</v>
      </c>
      <c r="W77" t="str">
        <f>+CONCATENATE(A77,":",L77)</f>
        <v>000261770:Mountain Bikes</v>
      </c>
    </row>
    <row r="78" spans="1:23" x14ac:dyDescent="0.25">
      <c r="A78" s="1" t="s">
        <v>143</v>
      </c>
      <c r="B78" s="2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t="s">
        <v>53</v>
      </c>
      <c r="N78">
        <v>3</v>
      </c>
      <c r="O78" s="3">
        <v>1266</v>
      </c>
      <c r="P78" s="3">
        <v>2320</v>
      </c>
      <c r="Q78" s="3">
        <v>3162</v>
      </c>
      <c r="R78" s="3">
        <v>3798</v>
      </c>
      <c r="S78" s="3">
        <v>6960</v>
      </c>
      <c r="T78" t="s">
        <v>233</v>
      </c>
      <c r="V78" s="4" t="str">
        <f>+CONCATENATE(A78,":",N78," ",L78,"-",TEXT(B78,"mm/dd/yyyy"))</f>
        <v>000261771:3 Mountain Bikes-12/21/2021</v>
      </c>
      <c r="W78" t="str">
        <f>+CONCATENATE(A78,":",L78)</f>
        <v>000261771:Mountain Bikes</v>
      </c>
    </row>
    <row r="79" spans="1:23" x14ac:dyDescent="0.25">
      <c r="A79" s="1" t="s">
        <v>145</v>
      </c>
      <c r="B79" s="2">
        <v>44551</v>
      </c>
      <c r="C79">
        <v>21</v>
      </c>
      <c r="D79" t="s">
        <v>20</v>
      </c>
      <c r="E79">
        <v>2021</v>
      </c>
      <c r="F79">
        <v>23</v>
      </c>
      <c r="G79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t="s">
        <v>34</v>
      </c>
      <c r="N79">
        <v>2</v>
      </c>
      <c r="O79" s="3">
        <v>420</v>
      </c>
      <c r="P79" s="3">
        <v>769</v>
      </c>
      <c r="Q79" s="3">
        <v>698</v>
      </c>
      <c r="R79" s="3">
        <v>840</v>
      </c>
      <c r="S79" s="3">
        <v>1538</v>
      </c>
      <c r="T79" t="s">
        <v>234</v>
      </c>
      <c r="V79" s="4" t="str">
        <f>+CONCATENATE(A79,":",N79," ",L79,"-",TEXT(B79,"mm/dd/yyyy"))</f>
        <v>000261772:2 Mountain Bikes-12/21/2021</v>
      </c>
      <c r="W79" t="str">
        <f>+CONCATENATE(A79,":",L79)</f>
        <v>000261772:Mountain Bikes</v>
      </c>
    </row>
    <row r="80" spans="1:23" x14ac:dyDescent="0.25">
      <c r="A80" s="1" t="s">
        <v>146</v>
      </c>
      <c r="B80" s="2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t="s">
        <v>53</v>
      </c>
      <c r="N80">
        <v>3</v>
      </c>
      <c r="O80" s="3">
        <v>1266</v>
      </c>
      <c r="P80" s="3">
        <v>2320</v>
      </c>
      <c r="Q80" s="3">
        <v>3162</v>
      </c>
      <c r="R80" s="3">
        <v>3798</v>
      </c>
      <c r="S80" s="3">
        <v>6960</v>
      </c>
      <c r="T80" t="s">
        <v>235</v>
      </c>
      <c r="V80" s="4" t="str">
        <f>+CONCATENATE(A80,":",N80," ",L80,"-",TEXT(B80,"mm/dd/yyyy"))</f>
        <v>000261773:3 Mountain Bikes-12/22/2021</v>
      </c>
      <c r="W80" t="str">
        <f>+CONCATENATE(A80,":",L80)</f>
        <v>000261773:Mountain Bikes</v>
      </c>
    </row>
    <row r="81" spans="1:23" x14ac:dyDescent="0.25">
      <c r="A81" s="1" t="s">
        <v>147</v>
      </c>
      <c r="B81" s="2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t="s">
        <v>60</v>
      </c>
      <c r="N81">
        <v>3</v>
      </c>
      <c r="O81" s="3">
        <v>1252</v>
      </c>
      <c r="P81" s="3">
        <v>2295</v>
      </c>
      <c r="Q81" s="3">
        <v>3129</v>
      </c>
      <c r="R81" s="3">
        <v>3756</v>
      </c>
      <c r="S81" s="3">
        <v>6885</v>
      </c>
      <c r="T81" t="s">
        <v>236</v>
      </c>
      <c r="V81" s="4" t="str">
        <f>+CONCATENATE(A81,":",N81," ",L81,"-",TEXT(B81,"mm/dd/yyyy"))</f>
        <v>000261774:3 Mountain Bikes-12/22/2021</v>
      </c>
      <c r="W81" t="str">
        <f>+CONCATENATE(A81,":",L81)</f>
        <v>000261774:Mountain Bikes</v>
      </c>
    </row>
    <row r="82" spans="1:23" x14ac:dyDescent="0.25">
      <c r="A82" s="1" t="s">
        <v>148</v>
      </c>
      <c r="B82" s="2">
        <v>44552</v>
      </c>
      <c r="C82">
        <v>22</v>
      </c>
      <c r="D82" t="s">
        <v>20</v>
      </c>
      <c r="E82">
        <v>2021</v>
      </c>
      <c r="F82">
        <v>19</v>
      </c>
      <c r="G82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t="s">
        <v>66</v>
      </c>
      <c r="N82">
        <v>1</v>
      </c>
      <c r="O82" s="3">
        <v>308</v>
      </c>
      <c r="P82" s="3">
        <v>565</v>
      </c>
      <c r="Q82" s="3">
        <v>257</v>
      </c>
      <c r="R82" s="3">
        <v>308</v>
      </c>
      <c r="S82" s="3">
        <v>565</v>
      </c>
      <c r="T82" t="s">
        <v>237</v>
      </c>
      <c r="V82" s="4" t="str">
        <f>+CONCATENATE(A82,":",N82," ",L82,"-",TEXT(B82,"mm/dd/yyyy"))</f>
        <v>000261775:1 Mountain Bikes-12/22/2021</v>
      </c>
      <c r="W82" t="str">
        <f>+CONCATENATE(A82,":",L82)</f>
        <v>000261775:Mountain Bikes</v>
      </c>
    </row>
    <row r="83" spans="1:23" x14ac:dyDescent="0.25">
      <c r="A83" s="1" t="s">
        <v>149</v>
      </c>
      <c r="B83" s="2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t="s">
        <v>43</v>
      </c>
      <c r="N83">
        <v>1</v>
      </c>
      <c r="O83" s="3">
        <v>1252</v>
      </c>
      <c r="P83" s="3">
        <v>2295</v>
      </c>
      <c r="Q83" s="3">
        <v>1043</v>
      </c>
      <c r="R83" s="3">
        <v>1252</v>
      </c>
      <c r="S83" s="3">
        <v>2295</v>
      </c>
      <c r="T83" t="s">
        <v>238</v>
      </c>
      <c r="V83" s="4" t="str">
        <f>+CONCATENATE(A83,":",N83," ",L83,"-",TEXT(B83,"mm/dd/yyyy"))</f>
        <v>000261776:1 Mountain Bikes-12/22/2021</v>
      </c>
      <c r="W83" t="str">
        <f>+CONCATENATE(A83,":",L83)</f>
        <v>000261776:Mountain Bikes</v>
      </c>
    </row>
    <row r="84" spans="1:23" x14ac:dyDescent="0.25">
      <c r="A84" s="1" t="s">
        <v>150</v>
      </c>
      <c r="B84" s="2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t="s">
        <v>27</v>
      </c>
      <c r="N84">
        <v>1</v>
      </c>
      <c r="O84" s="3">
        <v>1252</v>
      </c>
      <c r="P84" s="3">
        <v>2295</v>
      </c>
      <c r="Q84" s="3">
        <v>1043</v>
      </c>
      <c r="R84" s="3">
        <v>1252</v>
      </c>
      <c r="S84" s="3">
        <v>2295</v>
      </c>
      <c r="T84" t="s">
        <v>239</v>
      </c>
      <c r="V84" s="4" t="str">
        <f>+CONCATENATE(A84,":",N84," ",L84,"-",TEXT(B84,"mm/dd/yyyy"))</f>
        <v>000261777:1 Mountain Bikes-12/22/2021</v>
      </c>
      <c r="W84" t="str">
        <f>+CONCATENATE(A84,":",L84)</f>
        <v>000261777:Mountain Bikes</v>
      </c>
    </row>
    <row r="85" spans="1:23" x14ac:dyDescent="0.25">
      <c r="A85" s="1" t="s">
        <v>151</v>
      </c>
      <c r="B85" s="2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t="s">
        <v>53</v>
      </c>
      <c r="N85">
        <v>1</v>
      </c>
      <c r="O85" s="3">
        <v>1266</v>
      </c>
      <c r="P85" s="3">
        <v>2320</v>
      </c>
      <c r="Q85" s="3">
        <v>1054</v>
      </c>
      <c r="R85" s="3">
        <v>1266</v>
      </c>
      <c r="S85" s="3">
        <v>2320</v>
      </c>
      <c r="T85" t="s">
        <v>240</v>
      </c>
      <c r="V85" s="4" t="str">
        <f>+CONCATENATE(A85,":",N85," ",L85,"-",TEXT(B85,"mm/dd/yyyy"))</f>
        <v>000261778:1 Mountain Bikes-12/22/2021</v>
      </c>
      <c r="W85" t="str">
        <f>+CONCATENATE(A85,":",L85)</f>
        <v>000261778:Mountain Bikes</v>
      </c>
    </row>
    <row r="86" spans="1:23" x14ac:dyDescent="0.25">
      <c r="A86" s="1" t="s">
        <v>152</v>
      </c>
      <c r="B86" s="2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t="s">
        <v>32</v>
      </c>
      <c r="N86">
        <v>1</v>
      </c>
      <c r="O86" s="3">
        <v>1266</v>
      </c>
      <c r="P86" s="3">
        <v>2320</v>
      </c>
      <c r="Q86" s="3">
        <v>1054</v>
      </c>
      <c r="R86" s="3">
        <v>1266</v>
      </c>
      <c r="S86" s="3">
        <v>2320</v>
      </c>
      <c r="T86" t="s">
        <v>241</v>
      </c>
      <c r="V86" s="4" t="str">
        <f>+CONCATENATE(A86,":",N86," ",L86,"-",TEXT(B86,"mm/dd/yyyy"))</f>
        <v>000261779:1 Mountain Bikes-12/23/2021</v>
      </c>
      <c r="W86" t="str">
        <f>+CONCATENATE(A86,":",L86)</f>
        <v>000261779:Mountain Bikes</v>
      </c>
    </row>
    <row r="87" spans="1:23" x14ac:dyDescent="0.25">
      <c r="A87" s="1" t="s">
        <v>153</v>
      </c>
      <c r="B87" s="2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t="s">
        <v>60</v>
      </c>
      <c r="N87">
        <v>1</v>
      </c>
      <c r="O87" s="3">
        <v>1252</v>
      </c>
      <c r="P87" s="3">
        <v>2295</v>
      </c>
      <c r="Q87" s="3">
        <v>1043</v>
      </c>
      <c r="R87" s="3">
        <v>1252</v>
      </c>
      <c r="S87" s="3">
        <v>2295</v>
      </c>
      <c r="T87" t="s">
        <v>242</v>
      </c>
      <c r="V87" s="4" t="str">
        <f>+CONCATENATE(A87,":",N87," ",L87,"-",TEXT(B87,"mm/dd/yyyy"))</f>
        <v>000261780:1 Mountain Bikes-12/23/2021</v>
      </c>
      <c r="W87" t="str">
        <f>+CONCATENATE(A87,":",L87)</f>
        <v>000261780:Mountain Bikes</v>
      </c>
    </row>
    <row r="88" spans="1:23" x14ac:dyDescent="0.25">
      <c r="A88" s="1" t="s">
        <v>154</v>
      </c>
      <c r="B88" s="2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71</v>
      </c>
      <c r="N88">
        <v>1</v>
      </c>
      <c r="O88" s="3">
        <v>295</v>
      </c>
      <c r="P88" s="3">
        <v>540</v>
      </c>
      <c r="Q88" s="3">
        <v>245</v>
      </c>
      <c r="R88" s="3">
        <v>295</v>
      </c>
      <c r="S88" s="3">
        <v>540</v>
      </c>
      <c r="T88" t="s">
        <v>243</v>
      </c>
      <c r="V88" s="4" t="str">
        <f>+CONCATENATE(A88,":",N88," ",L88,"-",TEXT(B88,"mm/dd/yyyy"))</f>
        <v>000261781:1 Mountain Bikes-12/23/2021</v>
      </c>
      <c r="W88" t="str">
        <f>+CONCATENATE(A88,":",L88)</f>
        <v>000261781:Mountain Bikes</v>
      </c>
    </row>
    <row r="89" spans="1:23" x14ac:dyDescent="0.25">
      <c r="A89" s="1" t="s">
        <v>155</v>
      </c>
      <c r="B89" s="2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t="s">
        <v>60</v>
      </c>
      <c r="N89">
        <v>4</v>
      </c>
      <c r="O89" s="3">
        <v>1252</v>
      </c>
      <c r="P89" s="3">
        <v>2295</v>
      </c>
      <c r="Q89" s="3">
        <v>4172</v>
      </c>
      <c r="R89" s="3">
        <v>5008</v>
      </c>
      <c r="S89" s="3">
        <v>9180</v>
      </c>
      <c r="T89" t="s">
        <v>244</v>
      </c>
      <c r="V89" s="4" t="str">
        <f>+CONCATENATE(A89,":",N89," ",L89,"-",TEXT(B89,"mm/dd/yyyy"))</f>
        <v>000261782:4 Mountain Bikes-12/24/2021</v>
      </c>
      <c r="W89" t="str">
        <f>+CONCATENATE(A89,":",L89)</f>
        <v>000261782:Mountain Bikes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topLeftCell="H1" workbookViewId="0">
      <selection activeCell="O4" sqref="O4"/>
    </sheetView>
  </sheetViews>
  <sheetFormatPr baseColWidth="10" defaultRowHeight="15" x14ac:dyDescent="0.25"/>
  <cols>
    <col min="13" max="13" width="24.5703125" bestFit="1" customWidth="1"/>
    <col min="14" max="14" width="13.28515625" style="4" bestFit="1" customWidth="1"/>
    <col min="15" max="16" width="11.42578125" style="4"/>
    <col min="17" max="17" width="13.28515625" bestFit="1" customWidth="1"/>
    <col min="19" max="19" width="11.42578125" style="5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247</v>
      </c>
      <c r="O1" s="4" t="s">
        <v>248</v>
      </c>
      <c r="P1" s="4" t="s">
        <v>249</v>
      </c>
      <c r="Q1" t="s">
        <v>247</v>
      </c>
      <c r="R1" t="s">
        <v>248</v>
      </c>
      <c r="S1" s="5" t="s">
        <v>249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</row>
    <row r="2" spans="1:25" x14ac:dyDescent="0.25">
      <c r="A2" s="1" t="s">
        <v>19</v>
      </c>
      <c r="B2" s="2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4" t="str">
        <f>+LEFT(M2,12)</f>
        <v>Mountain-200</v>
      </c>
      <c r="O2" s="4" t="str">
        <f>+MID(M2,14,5)</f>
        <v>Black</v>
      </c>
      <c r="P2" s="4" t="str">
        <f>+RIGHT(M2,2)</f>
        <v>46</v>
      </c>
      <c r="Q2" t="s">
        <v>250</v>
      </c>
      <c r="R2" t="s">
        <v>251</v>
      </c>
      <c r="S2" s="5">
        <v>46</v>
      </c>
      <c r="T2">
        <v>4</v>
      </c>
      <c r="U2" s="3">
        <v>1252</v>
      </c>
      <c r="V2" s="3">
        <v>2295</v>
      </c>
      <c r="W2" s="3">
        <v>4172</v>
      </c>
      <c r="X2" s="3">
        <v>5008</v>
      </c>
      <c r="Y2" s="3">
        <v>9180</v>
      </c>
    </row>
    <row r="3" spans="1:25" x14ac:dyDescent="0.25">
      <c r="A3" s="1" t="s">
        <v>28</v>
      </c>
      <c r="B3" s="2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t="s">
        <v>32</v>
      </c>
      <c r="N3" s="4" t="str">
        <f t="shared" ref="N3:N66" si="0">+LEFT(M3,12)</f>
        <v>Mountain-200</v>
      </c>
      <c r="O3" s="4" t="str">
        <f t="shared" ref="O3:O66" si="1">+MID(M3,14,5)</f>
        <v>Silve</v>
      </c>
      <c r="P3" s="4" t="str">
        <f t="shared" ref="P3:P66" si="2">+RIGHT(M3,2)</f>
        <v>42</v>
      </c>
      <c r="Q3" t="s">
        <v>250</v>
      </c>
      <c r="R3" t="s">
        <v>252</v>
      </c>
      <c r="S3" s="5">
        <v>42</v>
      </c>
      <c r="T3">
        <v>1</v>
      </c>
      <c r="U3" s="3">
        <v>1266</v>
      </c>
      <c r="V3" s="3">
        <v>2320</v>
      </c>
      <c r="W3" s="3">
        <v>1054</v>
      </c>
      <c r="X3" s="3">
        <v>1266</v>
      </c>
      <c r="Y3" s="3">
        <v>2320</v>
      </c>
    </row>
    <row r="4" spans="1:25" x14ac:dyDescent="0.25">
      <c r="A4" s="1" t="s">
        <v>33</v>
      </c>
      <c r="B4" s="2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t="s">
        <v>34</v>
      </c>
      <c r="N4" s="4" t="str">
        <f>+LEFT(M4,14)</f>
        <v>Mountain-400-W</v>
      </c>
      <c r="O4" s="4" t="str">
        <f>+MID(M4,16,6)</f>
        <v>Silver</v>
      </c>
      <c r="P4" s="4" t="str">
        <f t="shared" si="2"/>
        <v>46</v>
      </c>
      <c r="Q4" t="s">
        <v>255</v>
      </c>
      <c r="R4" t="s">
        <v>256</v>
      </c>
      <c r="S4" s="5">
        <v>46</v>
      </c>
      <c r="T4">
        <v>2</v>
      </c>
      <c r="U4" s="3">
        <v>420</v>
      </c>
      <c r="V4" s="3">
        <v>769</v>
      </c>
      <c r="W4" s="3">
        <v>698</v>
      </c>
      <c r="X4" s="3">
        <v>840</v>
      </c>
      <c r="Y4" s="3">
        <v>1538</v>
      </c>
    </row>
    <row r="5" spans="1:25" x14ac:dyDescent="0.25">
      <c r="A5" s="1" t="s">
        <v>35</v>
      </c>
      <c r="B5" s="2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t="s">
        <v>39</v>
      </c>
      <c r="N5" s="4" t="str">
        <f>+LEFT(M5,14)</f>
        <v>Mountain-400-W</v>
      </c>
      <c r="O5" s="4" t="str">
        <f>+MID(M5,16,6)</f>
        <v>Silver</v>
      </c>
      <c r="P5" s="4" t="str">
        <f t="shared" si="2"/>
        <v>42</v>
      </c>
      <c r="Q5" t="s">
        <v>255</v>
      </c>
      <c r="R5" t="s">
        <v>256</v>
      </c>
      <c r="S5" s="5">
        <v>42</v>
      </c>
      <c r="T5">
        <v>1</v>
      </c>
      <c r="U5" s="3">
        <v>420</v>
      </c>
      <c r="V5" s="3">
        <v>769</v>
      </c>
      <c r="W5" s="3">
        <v>349</v>
      </c>
      <c r="X5" s="3">
        <v>420</v>
      </c>
      <c r="Y5" s="3">
        <v>769</v>
      </c>
    </row>
    <row r="6" spans="1:25" x14ac:dyDescent="0.25">
      <c r="A6" s="1" t="s">
        <v>40</v>
      </c>
      <c r="B6" s="2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s="4" t="str">
        <f t="shared" si="0"/>
        <v>Mountain-200</v>
      </c>
      <c r="O6" s="4" t="str">
        <f t="shared" si="1"/>
        <v>Black</v>
      </c>
      <c r="P6" s="4" t="str">
        <f t="shared" si="2"/>
        <v>46</v>
      </c>
      <c r="Q6" t="s">
        <v>250</v>
      </c>
      <c r="R6" t="s">
        <v>251</v>
      </c>
      <c r="S6" s="5">
        <v>46</v>
      </c>
      <c r="T6">
        <v>2</v>
      </c>
      <c r="U6" s="3">
        <v>1252</v>
      </c>
      <c r="V6" s="3">
        <v>2295</v>
      </c>
      <c r="W6" s="3">
        <v>2086</v>
      </c>
      <c r="X6" s="3">
        <v>2504</v>
      </c>
      <c r="Y6" s="3">
        <v>4590</v>
      </c>
    </row>
    <row r="7" spans="1:25" x14ac:dyDescent="0.25">
      <c r="A7" s="1" t="s">
        <v>41</v>
      </c>
      <c r="B7" s="2">
        <v>44533</v>
      </c>
      <c r="C7">
        <v>3</v>
      </c>
      <c r="D7" t="s">
        <v>20</v>
      </c>
      <c r="E7">
        <v>2021</v>
      </c>
      <c r="F7">
        <v>24</v>
      </c>
      <c r="G7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t="s">
        <v>43</v>
      </c>
      <c r="N7" s="4" t="str">
        <f t="shared" si="0"/>
        <v>Mountain-200</v>
      </c>
      <c r="O7" s="4" t="str">
        <f t="shared" si="1"/>
        <v>Black</v>
      </c>
      <c r="P7" s="4" t="str">
        <f t="shared" si="2"/>
        <v>38</v>
      </c>
      <c r="Q7" t="s">
        <v>250</v>
      </c>
      <c r="R7" t="s">
        <v>251</v>
      </c>
      <c r="S7" s="5">
        <v>38</v>
      </c>
      <c r="T7">
        <v>1</v>
      </c>
      <c r="U7" s="3">
        <v>1252</v>
      </c>
      <c r="V7" s="3">
        <v>2295</v>
      </c>
      <c r="W7" s="3">
        <v>1043</v>
      </c>
      <c r="X7" s="3">
        <v>1252</v>
      </c>
      <c r="Y7" s="3">
        <v>2295</v>
      </c>
    </row>
    <row r="8" spans="1:25" x14ac:dyDescent="0.25">
      <c r="A8" s="1" t="s">
        <v>44</v>
      </c>
      <c r="B8" s="2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t="s">
        <v>27</v>
      </c>
      <c r="N8" s="4" t="str">
        <f t="shared" si="0"/>
        <v>Mountain-200</v>
      </c>
      <c r="O8" s="4" t="str">
        <f t="shared" si="1"/>
        <v>Black</v>
      </c>
      <c r="P8" s="4" t="str">
        <f t="shared" si="2"/>
        <v>46</v>
      </c>
      <c r="Q8" t="s">
        <v>250</v>
      </c>
      <c r="R8" t="s">
        <v>251</v>
      </c>
      <c r="S8" s="5">
        <v>46</v>
      </c>
      <c r="T8">
        <v>1</v>
      </c>
      <c r="U8" s="3">
        <v>1252</v>
      </c>
      <c r="V8" s="3">
        <v>2295</v>
      </c>
      <c r="W8" s="3">
        <v>1043</v>
      </c>
      <c r="X8" s="3">
        <v>1252</v>
      </c>
      <c r="Y8" s="3">
        <v>2295</v>
      </c>
    </row>
    <row r="9" spans="1:25" x14ac:dyDescent="0.25">
      <c r="A9" s="1" t="s">
        <v>46</v>
      </c>
      <c r="B9" s="2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t="s">
        <v>39</v>
      </c>
      <c r="N9" s="4" t="str">
        <f>+LEFT(M9,14)</f>
        <v>Mountain-400-W</v>
      </c>
      <c r="O9" s="4" t="str">
        <f>+MID(M9,16,6)</f>
        <v>Silver</v>
      </c>
      <c r="P9" s="4" t="str">
        <f t="shared" si="2"/>
        <v>42</v>
      </c>
      <c r="Q9" t="s">
        <v>255</v>
      </c>
      <c r="R9" t="s">
        <v>256</v>
      </c>
      <c r="S9" s="5">
        <v>42</v>
      </c>
      <c r="T9">
        <v>4</v>
      </c>
      <c r="U9" s="3">
        <v>420</v>
      </c>
      <c r="V9" s="3">
        <v>769</v>
      </c>
      <c r="W9" s="3">
        <v>1396</v>
      </c>
      <c r="X9" s="3">
        <v>1680</v>
      </c>
      <c r="Y9" s="3">
        <v>3076</v>
      </c>
    </row>
    <row r="10" spans="1:25" x14ac:dyDescent="0.25">
      <c r="A10" s="1" t="s">
        <v>47</v>
      </c>
      <c r="B10" s="2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s="4" t="str">
        <f t="shared" si="0"/>
        <v>Mountain-200</v>
      </c>
      <c r="O10" s="4" t="str">
        <f t="shared" si="1"/>
        <v>Black</v>
      </c>
      <c r="P10" s="4" t="str">
        <f t="shared" si="2"/>
        <v>46</v>
      </c>
      <c r="Q10" t="s">
        <v>250</v>
      </c>
      <c r="R10" t="s">
        <v>251</v>
      </c>
      <c r="S10" s="5">
        <v>46</v>
      </c>
      <c r="T10">
        <v>4</v>
      </c>
      <c r="U10" s="3">
        <v>1252</v>
      </c>
      <c r="V10" s="3">
        <v>2295</v>
      </c>
      <c r="W10" s="3">
        <v>4172</v>
      </c>
      <c r="X10" s="3">
        <v>5008</v>
      </c>
      <c r="Y10" s="3">
        <v>9180</v>
      </c>
    </row>
    <row r="11" spans="1:25" x14ac:dyDescent="0.25">
      <c r="A11" s="1" t="s">
        <v>48</v>
      </c>
      <c r="B11" s="2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t="s">
        <v>43</v>
      </c>
      <c r="N11" s="4" t="str">
        <f t="shared" si="0"/>
        <v>Mountain-200</v>
      </c>
      <c r="O11" s="4" t="str">
        <f t="shared" si="1"/>
        <v>Black</v>
      </c>
      <c r="P11" s="4" t="str">
        <f t="shared" si="2"/>
        <v>38</v>
      </c>
      <c r="Q11" t="s">
        <v>250</v>
      </c>
      <c r="R11" t="s">
        <v>251</v>
      </c>
      <c r="S11" s="5">
        <v>38</v>
      </c>
      <c r="T11">
        <v>4</v>
      </c>
      <c r="U11" s="3">
        <v>1252</v>
      </c>
      <c r="V11" s="3">
        <v>2295</v>
      </c>
      <c r="W11" s="3">
        <v>4172</v>
      </c>
      <c r="X11" s="3">
        <v>5008</v>
      </c>
      <c r="Y11" s="3">
        <v>9180</v>
      </c>
    </row>
    <row r="12" spans="1:25" x14ac:dyDescent="0.25">
      <c r="A12" s="1" t="s">
        <v>51</v>
      </c>
      <c r="B12" s="2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t="s">
        <v>53</v>
      </c>
      <c r="N12" s="4" t="str">
        <f t="shared" si="0"/>
        <v>Mountain-200</v>
      </c>
      <c r="O12" s="4" t="str">
        <f t="shared" si="1"/>
        <v>Silve</v>
      </c>
      <c r="P12" s="4" t="str">
        <f t="shared" si="2"/>
        <v>38</v>
      </c>
      <c r="Q12" t="s">
        <v>250</v>
      </c>
      <c r="R12" t="s">
        <v>252</v>
      </c>
      <c r="S12" s="5">
        <v>38</v>
      </c>
      <c r="T12">
        <v>1</v>
      </c>
      <c r="U12" s="3">
        <v>1266</v>
      </c>
      <c r="V12" s="3">
        <v>2320</v>
      </c>
      <c r="W12" s="3">
        <v>1054</v>
      </c>
      <c r="X12" s="3">
        <v>1266</v>
      </c>
      <c r="Y12" s="3">
        <v>2320</v>
      </c>
    </row>
    <row r="13" spans="1:25" x14ac:dyDescent="0.25">
      <c r="A13" s="1" t="s">
        <v>54</v>
      </c>
      <c r="B13" s="2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s="4" t="str">
        <f t="shared" si="0"/>
        <v>Mountain-200</v>
      </c>
      <c r="O13" s="4" t="str">
        <f t="shared" si="1"/>
        <v>Black</v>
      </c>
      <c r="P13" s="4" t="str">
        <f t="shared" si="2"/>
        <v>46</v>
      </c>
      <c r="Q13" t="s">
        <v>250</v>
      </c>
      <c r="R13" t="s">
        <v>251</v>
      </c>
      <c r="S13" s="5">
        <v>46</v>
      </c>
      <c r="T13">
        <v>1</v>
      </c>
      <c r="U13" s="3">
        <v>1252</v>
      </c>
      <c r="V13" s="3">
        <v>2295</v>
      </c>
      <c r="W13" s="3">
        <v>1043</v>
      </c>
      <c r="X13" s="3">
        <v>1252</v>
      </c>
      <c r="Y13" s="3">
        <v>2295</v>
      </c>
    </row>
    <row r="14" spans="1:25" x14ac:dyDescent="0.25">
      <c r="A14" s="1" t="s">
        <v>55</v>
      </c>
      <c r="B14" s="2">
        <v>44536</v>
      </c>
      <c r="C14">
        <v>6</v>
      </c>
      <c r="D14" t="s">
        <v>20</v>
      </c>
      <c r="E14">
        <v>2021</v>
      </c>
      <c r="F14">
        <v>23</v>
      </c>
      <c r="G14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t="s">
        <v>34</v>
      </c>
      <c r="N14" s="4" t="str">
        <f>+LEFT(M14,14)</f>
        <v>Mountain-400-W</v>
      </c>
      <c r="O14" s="4" t="str">
        <f>+MID(M14,16,6)</f>
        <v>Silver</v>
      </c>
      <c r="P14" s="4" t="str">
        <f t="shared" si="2"/>
        <v>46</v>
      </c>
      <c r="Q14" t="s">
        <v>255</v>
      </c>
      <c r="R14" t="s">
        <v>256</v>
      </c>
      <c r="S14" s="5">
        <v>46</v>
      </c>
      <c r="T14">
        <v>3</v>
      </c>
      <c r="U14" s="3">
        <v>420</v>
      </c>
      <c r="V14" s="3">
        <v>769</v>
      </c>
      <c r="W14" s="3">
        <v>1047</v>
      </c>
      <c r="X14" s="3">
        <v>1260</v>
      </c>
      <c r="Y14" s="3">
        <v>2307</v>
      </c>
    </row>
    <row r="15" spans="1:25" x14ac:dyDescent="0.25">
      <c r="A15" s="1" t="s">
        <v>56</v>
      </c>
      <c r="B15" s="2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t="s">
        <v>27</v>
      </c>
      <c r="N15" s="4" t="str">
        <f t="shared" si="0"/>
        <v>Mountain-200</v>
      </c>
      <c r="O15" s="4" t="str">
        <f t="shared" si="1"/>
        <v>Black</v>
      </c>
      <c r="P15" s="4" t="str">
        <f t="shared" si="2"/>
        <v>46</v>
      </c>
      <c r="Q15" t="s">
        <v>250</v>
      </c>
      <c r="R15" t="s">
        <v>251</v>
      </c>
      <c r="S15" s="5">
        <v>46</v>
      </c>
      <c r="T15">
        <v>1</v>
      </c>
      <c r="U15" s="3">
        <v>1252</v>
      </c>
      <c r="V15" s="3">
        <v>2295</v>
      </c>
      <c r="W15" s="3">
        <v>1043</v>
      </c>
      <c r="X15" s="3">
        <v>1252</v>
      </c>
      <c r="Y15" s="3">
        <v>2295</v>
      </c>
    </row>
    <row r="16" spans="1:25" x14ac:dyDescent="0.25">
      <c r="A16" s="1" t="s">
        <v>59</v>
      </c>
      <c r="B16" s="2">
        <v>44536</v>
      </c>
      <c r="C16">
        <v>6</v>
      </c>
      <c r="D16" t="s">
        <v>20</v>
      </c>
      <c r="E16">
        <v>2021</v>
      </c>
      <c r="F16">
        <v>36</v>
      </c>
      <c r="G16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t="s">
        <v>60</v>
      </c>
      <c r="N16" s="4" t="str">
        <f t="shared" si="0"/>
        <v>Mountain-200</v>
      </c>
      <c r="O16" s="4" t="str">
        <f t="shared" si="1"/>
        <v>Black</v>
      </c>
      <c r="P16" s="4" t="str">
        <f t="shared" si="2"/>
        <v>42</v>
      </c>
      <c r="Q16" t="s">
        <v>250</v>
      </c>
      <c r="R16" t="s">
        <v>251</v>
      </c>
      <c r="S16" s="5">
        <v>42</v>
      </c>
      <c r="T16">
        <v>1</v>
      </c>
      <c r="U16" s="3">
        <v>1252</v>
      </c>
      <c r="V16" s="3">
        <v>2295</v>
      </c>
      <c r="W16" s="3">
        <v>1043</v>
      </c>
      <c r="X16" s="3">
        <v>1252</v>
      </c>
      <c r="Y16" s="3">
        <v>2295</v>
      </c>
    </row>
    <row r="17" spans="1:25" x14ac:dyDescent="0.25">
      <c r="A17" s="1" t="s">
        <v>61</v>
      </c>
      <c r="B17" s="2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t="s">
        <v>53</v>
      </c>
      <c r="N17" s="4" t="str">
        <f t="shared" si="0"/>
        <v>Mountain-200</v>
      </c>
      <c r="O17" s="4" t="str">
        <f t="shared" si="1"/>
        <v>Silve</v>
      </c>
      <c r="P17" s="4" t="str">
        <f t="shared" si="2"/>
        <v>38</v>
      </c>
      <c r="Q17" t="s">
        <v>250</v>
      </c>
      <c r="R17" t="s">
        <v>252</v>
      </c>
      <c r="S17" s="5">
        <v>38</v>
      </c>
      <c r="T17">
        <v>1</v>
      </c>
      <c r="U17" s="3">
        <v>1266</v>
      </c>
      <c r="V17" s="3">
        <v>2320</v>
      </c>
      <c r="W17" s="3">
        <v>1054</v>
      </c>
      <c r="X17" s="3">
        <v>1266</v>
      </c>
      <c r="Y17" s="3">
        <v>2320</v>
      </c>
    </row>
    <row r="18" spans="1:25" x14ac:dyDescent="0.25">
      <c r="A18" s="1" t="s">
        <v>62</v>
      </c>
      <c r="B18" s="2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t="s">
        <v>63</v>
      </c>
      <c r="N18" s="4" t="str">
        <f>+LEFT(M18,14)</f>
        <v>Mountain-400-W</v>
      </c>
      <c r="O18" s="4" t="str">
        <f>+MID(M18,16,6)</f>
        <v>Silver</v>
      </c>
      <c r="P18" s="4" t="str">
        <f t="shared" si="2"/>
        <v>38</v>
      </c>
      <c r="Q18" t="s">
        <v>255</v>
      </c>
      <c r="R18" t="s">
        <v>256</v>
      </c>
      <c r="S18" s="5">
        <v>38</v>
      </c>
      <c r="T18">
        <v>4</v>
      </c>
      <c r="U18" s="3">
        <v>420</v>
      </c>
      <c r="V18" s="3">
        <v>769</v>
      </c>
      <c r="W18" s="3">
        <v>1396</v>
      </c>
      <c r="X18" s="3">
        <v>1680</v>
      </c>
      <c r="Y18" s="3">
        <v>3076</v>
      </c>
    </row>
    <row r="19" spans="1:25" x14ac:dyDescent="0.25">
      <c r="A19" s="1" t="s">
        <v>64</v>
      </c>
      <c r="B19" s="2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t="s">
        <v>32</v>
      </c>
      <c r="N19" s="4" t="str">
        <f t="shared" si="0"/>
        <v>Mountain-200</v>
      </c>
      <c r="O19" s="4" t="str">
        <f t="shared" si="1"/>
        <v>Silve</v>
      </c>
      <c r="P19" s="4" t="str">
        <f t="shared" si="2"/>
        <v>42</v>
      </c>
      <c r="Q19" t="s">
        <v>250</v>
      </c>
      <c r="R19" t="s">
        <v>252</v>
      </c>
      <c r="S19" s="5">
        <v>42</v>
      </c>
      <c r="T19">
        <v>2</v>
      </c>
      <c r="U19" s="3">
        <v>1266</v>
      </c>
      <c r="V19" s="3">
        <v>2320</v>
      </c>
      <c r="W19" s="3">
        <v>2108</v>
      </c>
      <c r="X19" s="3">
        <v>2532</v>
      </c>
      <c r="Y19" s="3">
        <v>4640</v>
      </c>
    </row>
    <row r="20" spans="1:25" x14ac:dyDescent="0.25">
      <c r="A20" s="1" t="s">
        <v>65</v>
      </c>
      <c r="B20" s="2">
        <v>44538</v>
      </c>
      <c r="C20">
        <v>8</v>
      </c>
      <c r="D20" t="s">
        <v>20</v>
      </c>
      <c r="E20">
        <v>2021</v>
      </c>
      <c r="F20">
        <v>19</v>
      </c>
      <c r="G20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t="s">
        <v>66</v>
      </c>
      <c r="N20" s="4" t="str">
        <f t="shared" si="0"/>
        <v>Mountain-500</v>
      </c>
      <c r="O20" s="4" t="str">
        <f t="shared" si="1"/>
        <v>Silve</v>
      </c>
      <c r="P20" s="4" t="str">
        <f t="shared" si="2"/>
        <v>42</v>
      </c>
      <c r="Q20" t="s">
        <v>253</v>
      </c>
      <c r="R20" t="s">
        <v>252</v>
      </c>
      <c r="S20" s="5">
        <v>42</v>
      </c>
      <c r="T20">
        <v>4</v>
      </c>
      <c r="U20" s="3">
        <v>308</v>
      </c>
      <c r="V20" s="3">
        <v>565</v>
      </c>
      <c r="W20" s="3">
        <v>1028</v>
      </c>
      <c r="X20" s="3">
        <v>1232</v>
      </c>
      <c r="Y20" s="3">
        <v>2260</v>
      </c>
    </row>
    <row r="21" spans="1:25" x14ac:dyDescent="0.25">
      <c r="A21" s="1" t="s">
        <v>67</v>
      </c>
      <c r="B21" s="2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t="s">
        <v>53</v>
      </c>
      <c r="N21" s="4" t="str">
        <f t="shared" si="0"/>
        <v>Mountain-200</v>
      </c>
      <c r="O21" s="4" t="str">
        <f t="shared" si="1"/>
        <v>Silve</v>
      </c>
      <c r="P21" s="4" t="str">
        <f t="shared" si="2"/>
        <v>38</v>
      </c>
      <c r="Q21" t="s">
        <v>250</v>
      </c>
      <c r="R21" t="s">
        <v>252</v>
      </c>
      <c r="S21" s="5">
        <v>38</v>
      </c>
      <c r="T21">
        <v>4</v>
      </c>
      <c r="U21" s="3">
        <v>1266</v>
      </c>
      <c r="V21" s="3">
        <v>2320</v>
      </c>
      <c r="W21" s="3">
        <v>4216</v>
      </c>
      <c r="X21" s="3">
        <v>5064</v>
      </c>
      <c r="Y21" s="3">
        <v>9280</v>
      </c>
    </row>
    <row r="22" spans="1:25" x14ac:dyDescent="0.25">
      <c r="A22" s="1" t="s">
        <v>68</v>
      </c>
      <c r="B22" s="2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t="s">
        <v>60</v>
      </c>
      <c r="N22" s="4" t="str">
        <f t="shared" si="0"/>
        <v>Mountain-200</v>
      </c>
      <c r="O22" s="4" t="str">
        <f t="shared" si="1"/>
        <v>Black</v>
      </c>
      <c r="P22" s="4" t="str">
        <f t="shared" si="2"/>
        <v>42</v>
      </c>
      <c r="Q22" t="s">
        <v>250</v>
      </c>
      <c r="R22" t="s">
        <v>251</v>
      </c>
      <c r="S22" s="5">
        <v>42</v>
      </c>
      <c r="T22">
        <v>2</v>
      </c>
      <c r="U22" s="3">
        <v>1252</v>
      </c>
      <c r="V22" s="3">
        <v>2295</v>
      </c>
      <c r="W22" s="3">
        <v>2086</v>
      </c>
      <c r="X22" s="3">
        <v>2504</v>
      </c>
      <c r="Y22" s="3">
        <v>4590</v>
      </c>
    </row>
    <row r="23" spans="1:25" x14ac:dyDescent="0.25">
      <c r="A23" s="1" t="s">
        <v>70</v>
      </c>
      <c r="B23" s="2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71</v>
      </c>
      <c r="N23" s="4" t="str">
        <f t="shared" si="0"/>
        <v>Mountain-500</v>
      </c>
      <c r="O23" s="4" t="str">
        <f t="shared" si="1"/>
        <v>Black</v>
      </c>
      <c r="P23" s="4" t="str">
        <f t="shared" si="2"/>
        <v>42</v>
      </c>
      <c r="Q23" t="s">
        <v>253</v>
      </c>
      <c r="R23" t="s">
        <v>251</v>
      </c>
      <c r="S23" s="5">
        <v>42</v>
      </c>
      <c r="T23">
        <v>1</v>
      </c>
      <c r="U23" s="3">
        <v>295</v>
      </c>
      <c r="V23" s="3">
        <v>540</v>
      </c>
      <c r="W23" s="3">
        <v>245</v>
      </c>
      <c r="X23" s="3">
        <v>295</v>
      </c>
      <c r="Y23" s="3">
        <v>540</v>
      </c>
    </row>
    <row r="24" spans="1:25" x14ac:dyDescent="0.25">
      <c r="A24" s="1" t="s">
        <v>72</v>
      </c>
      <c r="B24" s="2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t="s">
        <v>74</v>
      </c>
      <c r="N24" s="4" t="str">
        <f t="shared" si="0"/>
        <v>Mountain-100</v>
      </c>
      <c r="O24" s="4" t="str">
        <f t="shared" si="1"/>
        <v>Black</v>
      </c>
      <c r="P24" s="4" t="str">
        <f t="shared" si="2"/>
        <v>38</v>
      </c>
      <c r="Q24" t="s">
        <v>254</v>
      </c>
      <c r="R24" t="s">
        <v>251</v>
      </c>
      <c r="S24" s="5">
        <v>38</v>
      </c>
      <c r="T24">
        <v>2</v>
      </c>
      <c r="U24" s="3">
        <v>1898</v>
      </c>
      <c r="V24" s="3">
        <v>3375</v>
      </c>
      <c r="W24" s="3">
        <v>2954</v>
      </c>
      <c r="X24" s="3">
        <v>3796</v>
      </c>
      <c r="Y24" s="3">
        <v>6750</v>
      </c>
    </row>
    <row r="25" spans="1:25" x14ac:dyDescent="0.25">
      <c r="A25" s="1" t="s">
        <v>75</v>
      </c>
      <c r="B25" s="2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t="s">
        <v>32</v>
      </c>
      <c r="N25" s="4" t="str">
        <f t="shared" si="0"/>
        <v>Mountain-200</v>
      </c>
      <c r="O25" s="4" t="str">
        <f t="shared" si="1"/>
        <v>Silve</v>
      </c>
      <c r="P25" s="4" t="str">
        <f t="shared" si="2"/>
        <v>42</v>
      </c>
      <c r="Q25" t="s">
        <v>250</v>
      </c>
      <c r="R25" t="s">
        <v>252</v>
      </c>
      <c r="S25" s="5">
        <v>42</v>
      </c>
      <c r="T25">
        <v>1</v>
      </c>
      <c r="U25" s="3">
        <v>1266</v>
      </c>
      <c r="V25" s="3">
        <v>2320</v>
      </c>
      <c r="W25" s="3">
        <v>1054</v>
      </c>
      <c r="X25" s="3">
        <v>1266</v>
      </c>
      <c r="Y25" s="3">
        <v>2320</v>
      </c>
    </row>
    <row r="26" spans="1:25" x14ac:dyDescent="0.25">
      <c r="A26" s="1" t="s">
        <v>77</v>
      </c>
      <c r="B26" s="2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60</v>
      </c>
      <c r="N26" s="4" t="str">
        <f t="shared" si="0"/>
        <v>Mountain-200</v>
      </c>
      <c r="O26" s="4" t="str">
        <f t="shared" si="1"/>
        <v>Black</v>
      </c>
      <c r="P26" s="4" t="str">
        <f t="shared" si="2"/>
        <v>42</v>
      </c>
      <c r="Q26" t="s">
        <v>250</v>
      </c>
      <c r="R26" t="s">
        <v>251</v>
      </c>
      <c r="S26" s="5">
        <v>42</v>
      </c>
      <c r="T26">
        <v>2</v>
      </c>
      <c r="U26" s="3">
        <v>1252</v>
      </c>
      <c r="V26" s="3">
        <v>2295</v>
      </c>
      <c r="W26" s="3">
        <v>2086</v>
      </c>
      <c r="X26" s="3">
        <v>2504</v>
      </c>
      <c r="Y26" s="3">
        <v>4590</v>
      </c>
    </row>
    <row r="27" spans="1:25" x14ac:dyDescent="0.25">
      <c r="A27" s="1" t="s">
        <v>78</v>
      </c>
      <c r="B27" s="2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t="s">
        <v>60</v>
      </c>
      <c r="N27" s="4" t="str">
        <f t="shared" si="0"/>
        <v>Mountain-200</v>
      </c>
      <c r="O27" s="4" t="str">
        <f t="shared" si="1"/>
        <v>Black</v>
      </c>
      <c r="P27" s="4" t="str">
        <f t="shared" si="2"/>
        <v>42</v>
      </c>
      <c r="Q27" t="s">
        <v>250</v>
      </c>
      <c r="R27" t="s">
        <v>251</v>
      </c>
      <c r="S27" s="5">
        <v>42</v>
      </c>
      <c r="T27">
        <v>2</v>
      </c>
      <c r="U27" s="3">
        <v>1252</v>
      </c>
      <c r="V27" s="3">
        <v>2295</v>
      </c>
      <c r="W27" s="3">
        <v>2086</v>
      </c>
      <c r="X27" s="3">
        <v>2504</v>
      </c>
      <c r="Y27" s="3">
        <v>4590</v>
      </c>
    </row>
    <row r="28" spans="1:25" x14ac:dyDescent="0.25">
      <c r="A28" s="1" t="s">
        <v>79</v>
      </c>
      <c r="B28" s="2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t="s">
        <v>43</v>
      </c>
      <c r="N28" s="4" t="str">
        <f t="shared" si="0"/>
        <v>Mountain-200</v>
      </c>
      <c r="O28" s="4" t="str">
        <f t="shared" si="1"/>
        <v>Black</v>
      </c>
      <c r="P28" s="4" t="str">
        <f t="shared" si="2"/>
        <v>38</v>
      </c>
      <c r="Q28" t="s">
        <v>250</v>
      </c>
      <c r="R28" t="s">
        <v>251</v>
      </c>
      <c r="S28" s="5">
        <v>38</v>
      </c>
      <c r="T28">
        <v>1</v>
      </c>
      <c r="U28" s="3">
        <v>1252</v>
      </c>
      <c r="V28" s="3">
        <v>2295</v>
      </c>
      <c r="W28" s="3">
        <v>1043</v>
      </c>
      <c r="X28" s="3">
        <v>1252</v>
      </c>
      <c r="Y28" s="3">
        <v>2295</v>
      </c>
    </row>
    <row r="29" spans="1:25" x14ac:dyDescent="0.25">
      <c r="A29" s="1" t="s">
        <v>80</v>
      </c>
      <c r="B29" s="2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t="s">
        <v>81</v>
      </c>
      <c r="N29" s="4" t="str">
        <f t="shared" si="0"/>
        <v>Mountain-500</v>
      </c>
      <c r="O29" s="4" t="str">
        <f t="shared" si="1"/>
        <v>Black</v>
      </c>
      <c r="P29" s="4" t="str">
        <f t="shared" si="2"/>
        <v>40</v>
      </c>
      <c r="Q29" t="s">
        <v>253</v>
      </c>
      <c r="R29" t="s">
        <v>251</v>
      </c>
      <c r="S29" s="5">
        <v>40</v>
      </c>
      <c r="T29">
        <v>1</v>
      </c>
      <c r="U29" s="3">
        <v>295</v>
      </c>
      <c r="V29" s="3">
        <v>540</v>
      </c>
      <c r="W29" s="3">
        <v>245</v>
      </c>
      <c r="X29" s="3">
        <v>295</v>
      </c>
      <c r="Y29" s="3">
        <v>540</v>
      </c>
    </row>
    <row r="30" spans="1:25" x14ac:dyDescent="0.25">
      <c r="A30" s="1" t="s">
        <v>82</v>
      </c>
      <c r="B30" s="2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t="s">
        <v>83</v>
      </c>
      <c r="N30" s="4" t="str">
        <f t="shared" si="0"/>
        <v>Mountain-100</v>
      </c>
      <c r="O30" s="4" t="str">
        <f t="shared" si="1"/>
        <v>Silve</v>
      </c>
      <c r="P30" s="4" t="str">
        <f t="shared" si="2"/>
        <v>44</v>
      </c>
      <c r="Q30" t="s">
        <v>254</v>
      </c>
      <c r="R30" t="s">
        <v>252</v>
      </c>
      <c r="S30" s="5">
        <v>44</v>
      </c>
      <c r="T30">
        <v>1</v>
      </c>
      <c r="U30" s="3">
        <v>1912</v>
      </c>
      <c r="V30" s="3">
        <v>3400</v>
      </c>
      <c r="W30" s="3">
        <v>1488</v>
      </c>
      <c r="X30" s="3">
        <v>1912</v>
      </c>
      <c r="Y30" s="3">
        <v>3400</v>
      </c>
    </row>
    <row r="31" spans="1:25" x14ac:dyDescent="0.25">
      <c r="A31" s="1" t="s">
        <v>84</v>
      </c>
      <c r="B31" s="2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t="s">
        <v>43</v>
      </c>
      <c r="N31" s="4" t="str">
        <f t="shared" si="0"/>
        <v>Mountain-200</v>
      </c>
      <c r="O31" s="4" t="str">
        <f t="shared" si="1"/>
        <v>Black</v>
      </c>
      <c r="P31" s="4" t="str">
        <f t="shared" si="2"/>
        <v>38</v>
      </c>
      <c r="Q31" t="s">
        <v>250</v>
      </c>
      <c r="R31" t="s">
        <v>251</v>
      </c>
      <c r="S31" s="5">
        <v>38</v>
      </c>
      <c r="T31">
        <v>1</v>
      </c>
      <c r="U31" s="3">
        <v>1252</v>
      </c>
      <c r="V31" s="3">
        <v>2295</v>
      </c>
      <c r="W31" s="3">
        <v>1043</v>
      </c>
      <c r="X31" s="3">
        <v>1252</v>
      </c>
      <c r="Y31" s="3">
        <v>2295</v>
      </c>
    </row>
    <row r="32" spans="1:25" x14ac:dyDescent="0.25">
      <c r="A32" s="1" t="s">
        <v>85</v>
      </c>
      <c r="B32" s="2">
        <v>44541</v>
      </c>
      <c r="C32">
        <v>11</v>
      </c>
      <c r="D32" t="s">
        <v>20</v>
      </c>
      <c r="E32">
        <v>2021</v>
      </c>
      <c r="F32">
        <v>24</v>
      </c>
      <c r="G32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t="s">
        <v>43</v>
      </c>
      <c r="N32" s="4" t="str">
        <f t="shared" si="0"/>
        <v>Mountain-200</v>
      </c>
      <c r="O32" s="4" t="str">
        <f t="shared" si="1"/>
        <v>Black</v>
      </c>
      <c r="P32" s="4" t="str">
        <f t="shared" si="2"/>
        <v>38</v>
      </c>
      <c r="Q32" t="s">
        <v>250</v>
      </c>
      <c r="R32" t="s">
        <v>251</v>
      </c>
      <c r="S32" s="5">
        <v>38</v>
      </c>
      <c r="T32">
        <v>3</v>
      </c>
      <c r="U32" s="3">
        <v>1252</v>
      </c>
      <c r="V32" s="3">
        <v>2295</v>
      </c>
      <c r="W32" s="3">
        <v>3129</v>
      </c>
      <c r="X32" s="3">
        <v>3756</v>
      </c>
      <c r="Y32" s="3">
        <v>6885</v>
      </c>
    </row>
    <row r="33" spans="1:25" x14ac:dyDescent="0.25">
      <c r="A33" s="1" t="s">
        <v>88</v>
      </c>
      <c r="B33" s="2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t="s">
        <v>63</v>
      </c>
      <c r="N33" s="4" t="str">
        <f>+LEFT(M33,14)</f>
        <v>Mountain-400-W</v>
      </c>
      <c r="O33" s="4" t="str">
        <f>+MID(M33,16,6)</f>
        <v>Silver</v>
      </c>
      <c r="P33" s="4" t="str">
        <f t="shared" si="2"/>
        <v>38</v>
      </c>
      <c r="Q33" t="s">
        <v>255</v>
      </c>
      <c r="R33" t="s">
        <v>256</v>
      </c>
      <c r="S33" s="5">
        <v>38</v>
      </c>
      <c r="T33">
        <v>2</v>
      </c>
      <c r="U33" s="3">
        <v>420</v>
      </c>
      <c r="V33" s="3">
        <v>769</v>
      </c>
      <c r="W33" s="3">
        <v>698</v>
      </c>
      <c r="X33" s="3">
        <v>840</v>
      </c>
      <c r="Y33" s="3">
        <v>1538</v>
      </c>
    </row>
    <row r="34" spans="1:25" x14ac:dyDescent="0.25">
      <c r="A34" s="1" t="s">
        <v>89</v>
      </c>
      <c r="B34" s="2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t="s">
        <v>27</v>
      </c>
      <c r="N34" s="4" t="str">
        <f t="shared" si="0"/>
        <v>Mountain-200</v>
      </c>
      <c r="O34" s="4" t="str">
        <f t="shared" si="1"/>
        <v>Black</v>
      </c>
      <c r="P34" s="4" t="str">
        <f t="shared" si="2"/>
        <v>46</v>
      </c>
      <c r="Q34" t="s">
        <v>250</v>
      </c>
      <c r="R34" t="s">
        <v>251</v>
      </c>
      <c r="S34" s="5">
        <v>46</v>
      </c>
      <c r="T34">
        <v>1</v>
      </c>
      <c r="U34" s="3">
        <v>1252</v>
      </c>
      <c r="V34" s="3">
        <v>2295</v>
      </c>
      <c r="W34" s="3">
        <v>1043</v>
      </c>
      <c r="X34" s="3">
        <v>1252</v>
      </c>
      <c r="Y34" s="3">
        <v>2295</v>
      </c>
    </row>
    <row r="35" spans="1:25" x14ac:dyDescent="0.25">
      <c r="A35" s="1" t="s">
        <v>90</v>
      </c>
      <c r="B35" s="2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t="s">
        <v>34</v>
      </c>
      <c r="N35" s="4" t="str">
        <f>+LEFT(M35,14)</f>
        <v>Mountain-400-W</v>
      </c>
      <c r="O35" s="4" t="str">
        <f>+MID(M35,16,6)</f>
        <v>Silver</v>
      </c>
      <c r="P35" s="4" t="str">
        <f t="shared" si="2"/>
        <v>46</v>
      </c>
      <c r="Q35" t="s">
        <v>255</v>
      </c>
      <c r="R35" t="s">
        <v>256</v>
      </c>
      <c r="S35" s="5">
        <v>46</v>
      </c>
      <c r="T35">
        <v>1</v>
      </c>
      <c r="U35" s="3">
        <v>420</v>
      </c>
      <c r="V35" s="3">
        <v>769</v>
      </c>
      <c r="W35" s="3">
        <v>349</v>
      </c>
      <c r="X35" s="3">
        <v>420</v>
      </c>
      <c r="Y35" s="3">
        <v>769</v>
      </c>
    </row>
    <row r="36" spans="1:25" x14ac:dyDescent="0.25">
      <c r="A36" s="1" t="s">
        <v>91</v>
      </c>
      <c r="B36" s="2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53</v>
      </c>
      <c r="N36" s="4" t="str">
        <f t="shared" si="0"/>
        <v>Mountain-200</v>
      </c>
      <c r="O36" s="4" t="str">
        <f t="shared" si="1"/>
        <v>Silve</v>
      </c>
      <c r="P36" s="4" t="str">
        <f t="shared" si="2"/>
        <v>38</v>
      </c>
      <c r="Q36" t="s">
        <v>250</v>
      </c>
      <c r="R36" t="s">
        <v>252</v>
      </c>
      <c r="S36" s="5">
        <v>38</v>
      </c>
      <c r="T36">
        <v>1</v>
      </c>
      <c r="U36" s="3">
        <v>1266</v>
      </c>
      <c r="V36" s="3">
        <v>2320</v>
      </c>
      <c r="W36" s="3">
        <v>1054</v>
      </c>
      <c r="X36" s="3">
        <v>1266</v>
      </c>
      <c r="Y36" s="3">
        <v>2320</v>
      </c>
    </row>
    <row r="37" spans="1:25" x14ac:dyDescent="0.25">
      <c r="A37" s="1" t="s">
        <v>92</v>
      </c>
      <c r="B37" s="2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t="s">
        <v>32</v>
      </c>
      <c r="N37" s="4" t="str">
        <f t="shared" si="0"/>
        <v>Mountain-200</v>
      </c>
      <c r="O37" s="4" t="str">
        <f t="shared" si="1"/>
        <v>Silve</v>
      </c>
      <c r="P37" s="4" t="str">
        <f t="shared" si="2"/>
        <v>42</v>
      </c>
      <c r="Q37" t="s">
        <v>250</v>
      </c>
      <c r="R37" t="s">
        <v>252</v>
      </c>
      <c r="S37" s="5">
        <v>42</v>
      </c>
      <c r="T37">
        <v>4</v>
      </c>
      <c r="U37" s="3">
        <v>1266</v>
      </c>
      <c r="V37" s="3">
        <v>2320</v>
      </c>
      <c r="W37" s="3">
        <v>4216</v>
      </c>
      <c r="X37" s="3">
        <v>5064</v>
      </c>
      <c r="Y37" s="3">
        <v>9280</v>
      </c>
    </row>
    <row r="38" spans="1:25" x14ac:dyDescent="0.25">
      <c r="A38" s="1" t="s">
        <v>93</v>
      </c>
      <c r="B38" s="2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t="s">
        <v>34</v>
      </c>
      <c r="N38" s="4" t="str">
        <f>+LEFT(M38,14)</f>
        <v>Mountain-400-W</v>
      </c>
      <c r="O38" s="4" t="str">
        <f>+MID(M38,16,6)</f>
        <v>Silver</v>
      </c>
      <c r="P38" s="4" t="str">
        <f t="shared" si="2"/>
        <v>46</v>
      </c>
      <c r="Q38" t="s">
        <v>255</v>
      </c>
      <c r="R38" t="s">
        <v>256</v>
      </c>
      <c r="S38" s="5">
        <v>46</v>
      </c>
      <c r="T38">
        <v>4</v>
      </c>
      <c r="U38" s="3">
        <v>420</v>
      </c>
      <c r="V38" s="3">
        <v>769</v>
      </c>
      <c r="W38" s="3">
        <v>1396</v>
      </c>
      <c r="X38" s="3">
        <v>1680</v>
      </c>
      <c r="Y38" s="3">
        <v>3076</v>
      </c>
    </row>
    <row r="39" spans="1:25" x14ac:dyDescent="0.25">
      <c r="A39" s="1" t="s">
        <v>94</v>
      </c>
      <c r="B39" s="2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t="s">
        <v>43</v>
      </c>
      <c r="N39" s="4" t="str">
        <f t="shared" si="0"/>
        <v>Mountain-200</v>
      </c>
      <c r="O39" s="4" t="str">
        <f t="shared" si="1"/>
        <v>Black</v>
      </c>
      <c r="P39" s="4" t="str">
        <f t="shared" si="2"/>
        <v>38</v>
      </c>
      <c r="Q39" t="s">
        <v>250</v>
      </c>
      <c r="R39" t="s">
        <v>251</v>
      </c>
      <c r="S39" s="5">
        <v>38</v>
      </c>
      <c r="T39">
        <v>2</v>
      </c>
      <c r="U39" s="3">
        <v>1252</v>
      </c>
      <c r="V39" s="3">
        <v>2295</v>
      </c>
      <c r="W39" s="3">
        <v>2086</v>
      </c>
      <c r="X39" s="3">
        <v>2504</v>
      </c>
      <c r="Y39" s="3">
        <v>4590</v>
      </c>
    </row>
    <row r="40" spans="1:25" x14ac:dyDescent="0.25">
      <c r="A40" s="1" t="s">
        <v>95</v>
      </c>
      <c r="B40" s="2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t="s">
        <v>32</v>
      </c>
      <c r="N40" s="4" t="str">
        <f t="shared" si="0"/>
        <v>Mountain-200</v>
      </c>
      <c r="O40" s="4" t="str">
        <f t="shared" si="1"/>
        <v>Silve</v>
      </c>
      <c r="P40" s="4" t="str">
        <f t="shared" si="2"/>
        <v>42</v>
      </c>
      <c r="Q40" t="s">
        <v>250</v>
      </c>
      <c r="R40" t="s">
        <v>252</v>
      </c>
      <c r="S40" s="5">
        <v>42</v>
      </c>
      <c r="T40">
        <v>1</v>
      </c>
      <c r="U40" s="3">
        <v>1266</v>
      </c>
      <c r="V40" s="3">
        <v>2320</v>
      </c>
      <c r="W40" s="3">
        <v>1054</v>
      </c>
      <c r="X40" s="3">
        <v>1266</v>
      </c>
      <c r="Y40" s="3">
        <v>2320</v>
      </c>
    </row>
    <row r="41" spans="1:25" x14ac:dyDescent="0.25">
      <c r="A41" s="1" t="s">
        <v>96</v>
      </c>
      <c r="B41" s="2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t="s">
        <v>32</v>
      </c>
      <c r="N41" s="4" t="str">
        <f t="shared" si="0"/>
        <v>Mountain-200</v>
      </c>
      <c r="O41" s="4" t="str">
        <f t="shared" si="1"/>
        <v>Silve</v>
      </c>
      <c r="P41" s="4" t="str">
        <f t="shared" si="2"/>
        <v>42</v>
      </c>
      <c r="Q41" t="s">
        <v>250</v>
      </c>
      <c r="R41" t="s">
        <v>252</v>
      </c>
      <c r="S41" s="5">
        <v>42</v>
      </c>
      <c r="T41">
        <v>1</v>
      </c>
      <c r="U41" s="3">
        <v>1266</v>
      </c>
      <c r="V41" s="3">
        <v>2320</v>
      </c>
      <c r="W41" s="3">
        <v>1054</v>
      </c>
      <c r="X41" s="3">
        <v>1266</v>
      </c>
      <c r="Y41" s="3">
        <v>2320</v>
      </c>
    </row>
    <row r="42" spans="1:25" x14ac:dyDescent="0.25">
      <c r="A42" s="1" t="s">
        <v>97</v>
      </c>
      <c r="B42" s="2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t="s">
        <v>32</v>
      </c>
      <c r="N42" s="4" t="str">
        <f t="shared" si="0"/>
        <v>Mountain-200</v>
      </c>
      <c r="O42" s="4" t="str">
        <f t="shared" si="1"/>
        <v>Silve</v>
      </c>
      <c r="P42" s="4" t="str">
        <f t="shared" si="2"/>
        <v>42</v>
      </c>
      <c r="Q42" t="s">
        <v>250</v>
      </c>
      <c r="R42" t="s">
        <v>252</v>
      </c>
      <c r="S42" s="5">
        <v>42</v>
      </c>
      <c r="T42">
        <v>3</v>
      </c>
      <c r="U42" s="3">
        <v>1266</v>
      </c>
      <c r="V42" s="3">
        <v>2320</v>
      </c>
      <c r="W42" s="3">
        <v>3162</v>
      </c>
      <c r="X42" s="3">
        <v>3798</v>
      </c>
      <c r="Y42" s="3">
        <v>6960</v>
      </c>
    </row>
    <row r="43" spans="1:25" x14ac:dyDescent="0.25">
      <c r="A43" s="1" t="s">
        <v>98</v>
      </c>
      <c r="B43" s="2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99</v>
      </c>
      <c r="N43" s="4" t="str">
        <f t="shared" si="0"/>
        <v>Mountain-500</v>
      </c>
      <c r="O43" s="4" t="str">
        <f t="shared" si="1"/>
        <v>Silve</v>
      </c>
      <c r="P43" s="4" t="str">
        <f t="shared" si="2"/>
        <v>40</v>
      </c>
      <c r="Q43" t="s">
        <v>253</v>
      </c>
      <c r="R43" t="s">
        <v>252</v>
      </c>
      <c r="S43" s="5">
        <v>40</v>
      </c>
      <c r="T43">
        <v>1</v>
      </c>
      <c r="U43" s="3">
        <v>308</v>
      </c>
      <c r="V43" s="3">
        <v>565</v>
      </c>
      <c r="W43" s="3">
        <v>257</v>
      </c>
      <c r="X43" s="3">
        <v>308</v>
      </c>
      <c r="Y43" s="3">
        <v>565</v>
      </c>
    </row>
    <row r="44" spans="1:25" x14ac:dyDescent="0.25">
      <c r="A44" s="1" t="s">
        <v>100</v>
      </c>
      <c r="B44" s="2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t="s">
        <v>43</v>
      </c>
      <c r="N44" s="4" t="str">
        <f t="shared" si="0"/>
        <v>Mountain-200</v>
      </c>
      <c r="O44" s="4" t="str">
        <f t="shared" si="1"/>
        <v>Black</v>
      </c>
      <c r="P44" s="4" t="str">
        <f t="shared" si="2"/>
        <v>38</v>
      </c>
      <c r="Q44" t="s">
        <v>250</v>
      </c>
      <c r="R44" t="s">
        <v>251</v>
      </c>
      <c r="S44" s="5">
        <v>38</v>
      </c>
      <c r="T44">
        <v>1</v>
      </c>
      <c r="U44" s="3">
        <v>1252</v>
      </c>
      <c r="V44" s="3">
        <v>2295</v>
      </c>
      <c r="W44" s="3">
        <v>1043</v>
      </c>
      <c r="X44" s="3">
        <v>1252</v>
      </c>
      <c r="Y44" s="3">
        <v>2295</v>
      </c>
    </row>
    <row r="45" spans="1:25" x14ac:dyDescent="0.25">
      <c r="A45" s="1" t="s">
        <v>101</v>
      </c>
      <c r="B45" s="2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t="s">
        <v>43</v>
      </c>
      <c r="N45" s="4" t="str">
        <f t="shared" si="0"/>
        <v>Mountain-200</v>
      </c>
      <c r="O45" s="4" t="str">
        <f t="shared" si="1"/>
        <v>Black</v>
      </c>
      <c r="P45" s="4" t="str">
        <f t="shared" si="2"/>
        <v>38</v>
      </c>
      <c r="Q45" t="s">
        <v>250</v>
      </c>
      <c r="R45" t="s">
        <v>251</v>
      </c>
      <c r="S45" s="5">
        <v>38</v>
      </c>
      <c r="T45">
        <v>1</v>
      </c>
      <c r="U45" s="3">
        <v>1252</v>
      </c>
      <c r="V45" s="3">
        <v>2295</v>
      </c>
      <c r="W45" s="3">
        <v>1043</v>
      </c>
      <c r="X45" s="3">
        <v>1252</v>
      </c>
      <c r="Y45" s="3">
        <v>2295</v>
      </c>
    </row>
    <row r="46" spans="1:25" x14ac:dyDescent="0.25">
      <c r="A46" s="1" t="s">
        <v>102</v>
      </c>
      <c r="B46" s="2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t="s">
        <v>53</v>
      </c>
      <c r="N46" s="4" t="str">
        <f t="shared" si="0"/>
        <v>Mountain-200</v>
      </c>
      <c r="O46" s="4" t="str">
        <f t="shared" si="1"/>
        <v>Silve</v>
      </c>
      <c r="P46" s="4" t="str">
        <f t="shared" si="2"/>
        <v>38</v>
      </c>
      <c r="Q46" t="s">
        <v>250</v>
      </c>
      <c r="R46" t="s">
        <v>252</v>
      </c>
      <c r="S46" s="5">
        <v>38</v>
      </c>
      <c r="T46">
        <v>2</v>
      </c>
      <c r="U46" s="3">
        <v>1266</v>
      </c>
      <c r="V46" s="3">
        <v>2320</v>
      </c>
      <c r="W46" s="3">
        <v>2108</v>
      </c>
      <c r="X46" s="3">
        <v>2532</v>
      </c>
      <c r="Y46" s="3">
        <v>4640</v>
      </c>
    </row>
    <row r="47" spans="1:25" x14ac:dyDescent="0.25">
      <c r="A47" s="1" t="s">
        <v>103</v>
      </c>
      <c r="B47" s="2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s="4" t="str">
        <f t="shared" si="0"/>
        <v>Mountain-200</v>
      </c>
      <c r="O47" s="4" t="str">
        <f t="shared" si="1"/>
        <v>Black</v>
      </c>
      <c r="P47" s="4" t="str">
        <f t="shared" si="2"/>
        <v>46</v>
      </c>
      <c r="Q47" t="s">
        <v>250</v>
      </c>
      <c r="R47" t="s">
        <v>251</v>
      </c>
      <c r="S47" s="5">
        <v>46</v>
      </c>
      <c r="T47">
        <v>1</v>
      </c>
      <c r="U47" s="3">
        <v>1252</v>
      </c>
      <c r="V47" s="3">
        <v>2295</v>
      </c>
      <c r="W47" s="3">
        <v>1043</v>
      </c>
      <c r="X47" s="3">
        <v>1252</v>
      </c>
      <c r="Y47" s="3">
        <v>2295</v>
      </c>
    </row>
    <row r="48" spans="1:25" x14ac:dyDescent="0.25">
      <c r="A48" s="1" t="s">
        <v>104</v>
      </c>
      <c r="B48" s="2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t="s">
        <v>34</v>
      </c>
      <c r="N48" s="4" t="str">
        <f>+LEFT(M48,14)</f>
        <v>Mountain-400-W</v>
      </c>
      <c r="O48" s="4" t="str">
        <f>+MID(M48,16,6)</f>
        <v>Silver</v>
      </c>
      <c r="P48" s="4" t="str">
        <f t="shared" si="2"/>
        <v>46</v>
      </c>
      <c r="Q48" t="s">
        <v>255</v>
      </c>
      <c r="R48" t="s">
        <v>256</v>
      </c>
      <c r="S48" s="5">
        <v>46</v>
      </c>
      <c r="T48">
        <v>1</v>
      </c>
      <c r="U48" s="3">
        <v>420</v>
      </c>
      <c r="V48" s="3">
        <v>769</v>
      </c>
      <c r="W48" s="3">
        <v>349</v>
      </c>
      <c r="X48" s="3">
        <v>420</v>
      </c>
      <c r="Y48" s="3">
        <v>769</v>
      </c>
    </row>
    <row r="49" spans="1:25" x14ac:dyDescent="0.25">
      <c r="A49" s="1" t="s">
        <v>105</v>
      </c>
      <c r="B49" s="2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32</v>
      </c>
      <c r="N49" s="4" t="str">
        <f t="shared" si="0"/>
        <v>Mountain-200</v>
      </c>
      <c r="O49" s="4" t="str">
        <f t="shared" si="1"/>
        <v>Silve</v>
      </c>
      <c r="P49" s="4" t="str">
        <f t="shared" si="2"/>
        <v>42</v>
      </c>
      <c r="Q49" t="s">
        <v>250</v>
      </c>
      <c r="R49" t="s">
        <v>252</v>
      </c>
      <c r="S49" s="5">
        <v>42</v>
      </c>
      <c r="T49">
        <v>1</v>
      </c>
      <c r="U49" s="3">
        <v>1266</v>
      </c>
      <c r="V49" s="3">
        <v>2320</v>
      </c>
      <c r="W49" s="3">
        <v>1054</v>
      </c>
      <c r="X49" s="3">
        <v>1266</v>
      </c>
      <c r="Y49" s="3">
        <v>2320</v>
      </c>
    </row>
    <row r="50" spans="1:25" x14ac:dyDescent="0.25">
      <c r="A50" s="1" t="s">
        <v>106</v>
      </c>
      <c r="B50" s="2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t="s">
        <v>43</v>
      </c>
      <c r="N50" s="4" t="str">
        <f t="shared" si="0"/>
        <v>Mountain-200</v>
      </c>
      <c r="O50" s="4" t="str">
        <f t="shared" si="1"/>
        <v>Black</v>
      </c>
      <c r="P50" s="4" t="str">
        <f t="shared" si="2"/>
        <v>38</v>
      </c>
      <c r="Q50" t="s">
        <v>250</v>
      </c>
      <c r="R50" t="s">
        <v>251</v>
      </c>
      <c r="S50" s="5">
        <v>38</v>
      </c>
      <c r="T50">
        <v>2</v>
      </c>
      <c r="U50" s="3">
        <v>1252</v>
      </c>
      <c r="V50" s="3">
        <v>2295</v>
      </c>
      <c r="W50" s="3">
        <v>2086</v>
      </c>
      <c r="X50" s="3">
        <v>2504</v>
      </c>
      <c r="Y50" s="3">
        <v>4590</v>
      </c>
    </row>
    <row r="51" spans="1:25" x14ac:dyDescent="0.25">
      <c r="A51" s="1" t="s">
        <v>107</v>
      </c>
      <c r="B51" s="2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t="s">
        <v>43</v>
      </c>
      <c r="N51" s="4" t="str">
        <f t="shared" si="0"/>
        <v>Mountain-200</v>
      </c>
      <c r="O51" s="4" t="str">
        <f t="shared" si="1"/>
        <v>Black</v>
      </c>
      <c r="P51" s="4" t="str">
        <f t="shared" si="2"/>
        <v>38</v>
      </c>
      <c r="Q51" t="s">
        <v>250</v>
      </c>
      <c r="R51" t="s">
        <v>251</v>
      </c>
      <c r="S51" s="5">
        <v>38</v>
      </c>
      <c r="T51">
        <v>2</v>
      </c>
      <c r="U51" s="3">
        <v>1252</v>
      </c>
      <c r="V51" s="3">
        <v>2295</v>
      </c>
      <c r="W51" s="3">
        <v>2086</v>
      </c>
      <c r="X51" s="3">
        <v>2504</v>
      </c>
      <c r="Y51" s="3">
        <v>4590</v>
      </c>
    </row>
    <row r="52" spans="1:25" x14ac:dyDescent="0.25">
      <c r="A52" s="1" t="s">
        <v>108</v>
      </c>
      <c r="B52" s="2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t="s">
        <v>110</v>
      </c>
      <c r="N52" s="4" t="str">
        <f t="shared" si="0"/>
        <v>Mountain-200</v>
      </c>
      <c r="O52" s="4" t="str">
        <f t="shared" si="1"/>
        <v>Silve</v>
      </c>
      <c r="P52" s="4" t="str">
        <f t="shared" si="2"/>
        <v>46</v>
      </c>
      <c r="Q52" t="s">
        <v>250</v>
      </c>
      <c r="R52" t="s">
        <v>252</v>
      </c>
      <c r="S52" s="5">
        <v>46</v>
      </c>
      <c r="T52">
        <v>1</v>
      </c>
      <c r="U52" s="3">
        <v>1266</v>
      </c>
      <c r="V52" s="3">
        <v>2320</v>
      </c>
      <c r="W52" s="3">
        <v>1054</v>
      </c>
      <c r="X52" s="3">
        <v>1266</v>
      </c>
      <c r="Y52" s="3">
        <v>2320</v>
      </c>
    </row>
    <row r="53" spans="1:25" x14ac:dyDescent="0.25">
      <c r="A53" s="1" t="s">
        <v>111</v>
      </c>
      <c r="B53" s="2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t="s">
        <v>53</v>
      </c>
      <c r="N53" s="4" t="str">
        <f t="shared" si="0"/>
        <v>Mountain-200</v>
      </c>
      <c r="O53" s="4" t="str">
        <f t="shared" si="1"/>
        <v>Silve</v>
      </c>
      <c r="P53" s="4" t="str">
        <f t="shared" si="2"/>
        <v>38</v>
      </c>
      <c r="Q53" t="s">
        <v>250</v>
      </c>
      <c r="R53" t="s">
        <v>252</v>
      </c>
      <c r="S53" s="5">
        <v>38</v>
      </c>
      <c r="T53">
        <v>2</v>
      </c>
      <c r="U53" s="3">
        <v>1266</v>
      </c>
      <c r="V53" s="3">
        <v>2320</v>
      </c>
      <c r="W53" s="3">
        <v>2108</v>
      </c>
      <c r="X53" s="3">
        <v>2532</v>
      </c>
      <c r="Y53" s="3">
        <v>4640</v>
      </c>
    </row>
    <row r="54" spans="1:25" x14ac:dyDescent="0.25">
      <c r="A54" s="1" t="s">
        <v>112</v>
      </c>
      <c r="B54" s="2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t="s">
        <v>39</v>
      </c>
      <c r="N54" s="4" t="str">
        <f>+LEFT(M54,14)</f>
        <v>Mountain-400-W</v>
      </c>
      <c r="O54" s="4" t="str">
        <f>+MID(M54,16,6)</f>
        <v>Silver</v>
      </c>
      <c r="P54" s="4" t="str">
        <f t="shared" si="2"/>
        <v>42</v>
      </c>
      <c r="Q54" t="s">
        <v>255</v>
      </c>
      <c r="R54" t="s">
        <v>256</v>
      </c>
      <c r="S54" s="5">
        <v>42</v>
      </c>
      <c r="T54">
        <v>1</v>
      </c>
      <c r="U54" s="3">
        <v>420</v>
      </c>
      <c r="V54" s="3">
        <v>769</v>
      </c>
      <c r="W54" s="3">
        <v>349</v>
      </c>
      <c r="X54" s="3">
        <v>420</v>
      </c>
      <c r="Y54" s="3">
        <v>769</v>
      </c>
    </row>
    <row r="55" spans="1:25" x14ac:dyDescent="0.25">
      <c r="A55" s="1" t="s">
        <v>113</v>
      </c>
      <c r="B55" s="2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t="s">
        <v>110</v>
      </c>
      <c r="N55" s="4" t="str">
        <f t="shared" si="0"/>
        <v>Mountain-200</v>
      </c>
      <c r="O55" s="4" t="str">
        <f t="shared" si="1"/>
        <v>Silve</v>
      </c>
      <c r="P55" s="4" t="str">
        <f t="shared" si="2"/>
        <v>46</v>
      </c>
      <c r="Q55" t="s">
        <v>250</v>
      </c>
      <c r="R55" t="s">
        <v>252</v>
      </c>
      <c r="S55" s="5">
        <v>46</v>
      </c>
      <c r="T55">
        <v>1</v>
      </c>
      <c r="U55" s="3">
        <v>1266</v>
      </c>
      <c r="V55" s="3">
        <v>2320</v>
      </c>
      <c r="W55" s="3">
        <v>1054</v>
      </c>
      <c r="X55" s="3">
        <v>1266</v>
      </c>
      <c r="Y55" s="3">
        <v>2320</v>
      </c>
    </row>
    <row r="56" spans="1:25" x14ac:dyDescent="0.25">
      <c r="A56" s="1" t="s">
        <v>114</v>
      </c>
      <c r="B56" s="2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t="s">
        <v>66</v>
      </c>
      <c r="N56" s="4" t="str">
        <f t="shared" si="0"/>
        <v>Mountain-500</v>
      </c>
      <c r="O56" s="4" t="str">
        <f t="shared" si="1"/>
        <v>Silve</v>
      </c>
      <c r="P56" s="4" t="str">
        <f t="shared" si="2"/>
        <v>42</v>
      </c>
      <c r="Q56" t="s">
        <v>253</v>
      </c>
      <c r="R56" t="s">
        <v>252</v>
      </c>
      <c r="S56" s="5">
        <v>42</v>
      </c>
      <c r="T56">
        <v>4</v>
      </c>
      <c r="U56" s="3">
        <v>308</v>
      </c>
      <c r="V56" s="3">
        <v>565</v>
      </c>
      <c r="W56" s="3">
        <v>1028</v>
      </c>
      <c r="X56" s="3">
        <v>1232</v>
      </c>
      <c r="Y56" s="3">
        <v>2260</v>
      </c>
    </row>
    <row r="57" spans="1:25" x14ac:dyDescent="0.25">
      <c r="A57" s="1" t="s">
        <v>115</v>
      </c>
      <c r="B57" s="2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t="s">
        <v>110</v>
      </c>
      <c r="N57" s="4" t="str">
        <f t="shared" si="0"/>
        <v>Mountain-200</v>
      </c>
      <c r="O57" s="4" t="str">
        <f t="shared" si="1"/>
        <v>Silve</v>
      </c>
      <c r="P57" s="4" t="str">
        <f t="shared" si="2"/>
        <v>46</v>
      </c>
      <c r="Q57" t="s">
        <v>250</v>
      </c>
      <c r="R57" t="s">
        <v>252</v>
      </c>
      <c r="S57" s="5">
        <v>46</v>
      </c>
      <c r="T57">
        <v>4</v>
      </c>
      <c r="U57" s="3">
        <v>1266</v>
      </c>
      <c r="V57" s="3">
        <v>2320</v>
      </c>
      <c r="W57" s="3">
        <v>4216</v>
      </c>
      <c r="X57" s="3">
        <v>5064</v>
      </c>
      <c r="Y57" s="3">
        <v>9280</v>
      </c>
    </row>
    <row r="58" spans="1:25" x14ac:dyDescent="0.25">
      <c r="A58" s="1" t="s">
        <v>116</v>
      </c>
      <c r="B58" s="2">
        <v>44548</v>
      </c>
      <c r="C58">
        <v>18</v>
      </c>
      <c r="D58" t="s">
        <v>20</v>
      </c>
      <c r="E58">
        <v>2021</v>
      </c>
      <c r="F58">
        <v>24</v>
      </c>
      <c r="G5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t="s">
        <v>53</v>
      </c>
      <c r="N58" s="4" t="str">
        <f t="shared" si="0"/>
        <v>Mountain-200</v>
      </c>
      <c r="O58" s="4" t="str">
        <f t="shared" si="1"/>
        <v>Silve</v>
      </c>
      <c r="P58" s="4" t="str">
        <f t="shared" si="2"/>
        <v>38</v>
      </c>
      <c r="Q58" t="s">
        <v>250</v>
      </c>
      <c r="R58" t="s">
        <v>252</v>
      </c>
      <c r="S58" s="5">
        <v>38</v>
      </c>
      <c r="T58">
        <v>3</v>
      </c>
      <c r="U58" s="3">
        <v>1266</v>
      </c>
      <c r="V58" s="3">
        <v>2320</v>
      </c>
      <c r="W58" s="3">
        <v>3162</v>
      </c>
      <c r="X58" s="3">
        <v>3798</v>
      </c>
      <c r="Y58" s="3">
        <v>6960</v>
      </c>
    </row>
    <row r="59" spans="1:25" x14ac:dyDescent="0.25">
      <c r="A59" s="1" t="s">
        <v>118</v>
      </c>
      <c r="B59" s="2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t="s">
        <v>39</v>
      </c>
      <c r="N59" s="4" t="str">
        <f>+LEFT(M59,14)</f>
        <v>Mountain-400-W</v>
      </c>
      <c r="O59" s="4" t="str">
        <f>+MID(M59,16,6)</f>
        <v>Silver</v>
      </c>
      <c r="P59" s="4" t="str">
        <f t="shared" si="2"/>
        <v>42</v>
      </c>
      <c r="Q59" t="s">
        <v>255</v>
      </c>
      <c r="R59" t="s">
        <v>256</v>
      </c>
      <c r="S59" s="5">
        <v>42</v>
      </c>
      <c r="T59">
        <v>3</v>
      </c>
      <c r="U59" s="3">
        <v>420</v>
      </c>
      <c r="V59" s="3">
        <v>769</v>
      </c>
      <c r="W59" s="3">
        <v>1047</v>
      </c>
      <c r="X59" s="3">
        <v>1260</v>
      </c>
      <c r="Y59" s="3">
        <v>2307</v>
      </c>
    </row>
    <row r="60" spans="1:25" x14ac:dyDescent="0.25">
      <c r="A60" s="1" t="s">
        <v>119</v>
      </c>
      <c r="B60" s="2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t="s">
        <v>60</v>
      </c>
      <c r="N60" s="4" t="str">
        <f t="shared" si="0"/>
        <v>Mountain-200</v>
      </c>
      <c r="O60" s="4" t="str">
        <f t="shared" si="1"/>
        <v>Black</v>
      </c>
      <c r="P60" s="4" t="str">
        <f t="shared" si="2"/>
        <v>42</v>
      </c>
      <c r="Q60" t="s">
        <v>250</v>
      </c>
      <c r="R60" t="s">
        <v>251</v>
      </c>
      <c r="S60" s="5">
        <v>42</v>
      </c>
      <c r="T60">
        <v>3</v>
      </c>
      <c r="U60" s="3">
        <v>1252</v>
      </c>
      <c r="V60" s="3">
        <v>2295</v>
      </c>
      <c r="W60" s="3">
        <v>3129</v>
      </c>
      <c r="X60" s="3">
        <v>3756</v>
      </c>
      <c r="Y60" s="3">
        <v>6885</v>
      </c>
    </row>
    <row r="61" spans="1:25" x14ac:dyDescent="0.25">
      <c r="A61" s="1" t="s">
        <v>120</v>
      </c>
      <c r="B61" s="2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t="s">
        <v>27</v>
      </c>
      <c r="N61" s="4" t="str">
        <f t="shared" si="0"/>
        <v>Mountain-200</v>
      </c>
      <c r="O61" s="4" t="str">
        <f t="shared" si="1"/>
        <v>Black</v>
      </c>
      <c r="P61" s="4" t="str">
        <f t="shared" si="2"/>
        <v>46</v>
      </c>
      <c r="Q61" t="s">
        <v>250</v>
      </c>
      <c r="R61" t="s">
        <v>251</v>
      </c>
      <c r="S61" s="5">
        <v>46</v>
      </c>
      <c r="T61">
        <v>1</v>
      </c>
      <c r="U61" s="3">
        <v>1252</v>
      </c>
      <c r="V61" s="3">
        <v>2295</v>
      </c>
      <c r="W61" s="3">
        <v>1043</v>
      </c>
      <c r="X61" s="3">
        <v>1252</v>
      </c>
      <c r="Y61" s="3">
        <v>2295</v>
      </c>
    </row>
    <row r="62" spans="1:25" x14ac:dyDescent="0.25">
      <c r="A62" s="1" t="s">
        <v>121</v>
      </c>
      <c r="B62" s="2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t="s">
        <v>53</v>
      </c>
      <c r="N62" s="4" t="str">
        <f t="shared" si="0"/>
        <v>Mountain-200</v>
      </c>
      <c r="O62" s="4" t="str">
        <f t="shared" si="1"/>
        <v>Silve</v>
      </c>
      <c r="P62" s="4" t="str">
        <f t="shared" si="2"/>
        <v>38</v>
      </c>
      <c r="Q62" t="s">
        <v>250</v>
      </c>
      <c r="R62" t="s">
        <v>252</v>
      </c>
      <c r="S62" s="5">
        <v>38</v>
      </c>
      <c r="T62">
        <v>1</v>
      </c>
      <c r="U62" s="3">
        <v>1266</v>
      </c>
      <c r="V62" s="3">
        <v>2320</v>
      </c>
      <c r="W62" s="3">
        <v>1054</v>
      </c>
      <c r="X62" s="3">
        <v>1266</v>
      </c>
      <c r="Y62" s="3">
        <v>2320</v>
      </c>
    </row>
    <row r="63" spans="1:25" x14ac:dyDescent="0.25">
      <c r="A63" s="1" t="s">
        <v>122</v>
      </c>
      <c r="B63" s="2">
        <v>44549</v>
      </c>
      <c r="C63">
        <v>19</v>
      </c>
      <c r="D63" t="s">
        <v>20</v>
      </c>
      <c r="E63">
        <v>2021</v>
      </c>
      <c r="F63">
        <v>17</v>
      </c>
      <c r="G63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t="s">
        <v>110</v>
      </c>
      <c r="N63" s="4" t="str">
        <f t="shared" si="0"/>
        <v>Mountain-200</v>
      </c>
      <c r="O63" s="4" t="str">
        <f t="shared" si="1"/>
        <v>Silve</v>
      </c>
      <c r="P63" s="4" t="str">
        <f t="shared" si="2"/>
        <v>46</v>
      </c>
      <c r="Q63" t="s">
        <v>250</v>
      </c>
      <c r="R63" t="s">
        <v>252</v>
      </c>
      <c r="S63" s="5">
        <v>46</v>
      </c>
      <c r="T63">
        <v>4</v>
      </c>
      <c r="U63" s="3">
        <v>1266</v>
      </c>
      <c r="V63" s="3">
        <v>2320</v>
      </c>
      <c r="W63" s="3">
        <v>4216</v>
      </c>
      <c r="X63" s="3">
        <v>5064</v>
      </c>
      <c r="Y63" s="3">
        <v>9280</v>
      </c>
    </row>
    <row r="64" spans="1:25" x14ac:dyDescent="0.25">
      <c r="A64" s="1" t="s">
        <v>124</v>
      </c>
      <c r="B64" s="2">
        <v>44549</v>
      </c>
      <c r="C64">
        <v>19</v>
      </c>
      <c r="D64" t="s">
        <v>20</v>
      </c>
      <c r="E64">
        <v>2021</v>
      </c>
      <c r="F64">
        <v>19</v>
      </c>
      <c r="G64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t="s">
        <v>125</v>
      </c>
      <c r="N64" s="4" t="str">
        <f t="shared" si="0"/>
        <v>Mountain-500</v>
      </c>
      <c r="O64" s="4" t="str">
        <f t="shared" si="1"/>
        <v>Black</v>
      </c>
      <c r="P64" s="4" t="str">
        <f t="shared" si="2"/>
        <v>44</v>
      </c>
      <c r="Q64" t="s">
        <v>253</v>
      </c>
      <c r="R64" t="s">
        <v>251</v>
      </c>
      <c r="S64" s="5">
        <v>44</v>
      </c>
      <c r="T64">
        <v>4</v>
      </c>
      <c r="U64" s="3">
        <v>295</v>
      </c>
      <c r="V64" s="3">
        <v>540</v>
      </c>
      <c r="W64" s="3">
        <v>980</v>
      </c>
      <c r="X64" s="3">
        <v>1180</v>
      </c>
      <c r="Y64" s="3">
        <v>2160</v>
      </c>
    </row>
    <row r="65" spans="1:25" x14ac:dyDescent="0.25">
      <c r="A65" s="1" t="s">
        <v>126</v>
      </c>
      <c r="B65" s="2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t="s">
        <v>43</v>
      </c>
      <c r="N65" s="4" t="str">
        <f t="shared" si="0"/>
        <v>Mountain-200</v>
      </c>
      <c r="O65" s="4" t="str">
        <f t="shared" si="1"/>
        <v>Black</v>
      </c>
      <c r="P65" s="4" t="str">
        <f t="shared" si="2"/>
        <v>38</v>
      </c>
      <c r="Q65" t="s">
        <v>250</v>
      </c>
      <c r="R65" t="s">
        <v>251</v>
      </c>
      <c r="S65" s="5">
        <v>38</v>
      </c>
      <c r="T65">
        <v>4</v>
      </c>
      <c r="U65" s="3">
        <v>1252</v>
      </c>
      <c r="V65" s="3">
        <v>2295</v>
      </c>
      <c r="W65" s="3">
        <v>4172</v>
      </c>
      <c r="X65" s="3">
        <v>5008</v>
      </c>
      <c r="Y65" s="3">
        <v>9180</v>
      </c>
    </row>
    <row r="66" spans="1:25" x14ac:dyDescent="0.25">
      <c r="A66" s="1" t="s">
        <v>127</v>
      </c>
      <c r="B66" s="2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t="s">
        <v>128</v>
      </c>
      <c r="N66" s="4" t="str">
        <f t="shared" si="0"/>
        <v>Mountain-100</v>
      </c>
      <c r="O66" s="4" t="str">
        <f t="shared" si="1"/>
        <v>Black</v>
      </c>
      <c r="P66" s="4" t="str">
        <f t="shared" si="2"/>
        <v>48</v>
      </c>
      <c r="Q66" t="s">
        <v>254</v>
      </c>
      <c r="R66" t="s">
        <v>251</v>
      </c>
      <c r="S66" s="5">
        <v>48</v>
      </c>
      <c r="T66">
        <v>4</v>
      </c>
      <c r="U66" s="3">
        <v>1898</v>
      </c>
      <c r="V66" s="3">
        <v>3375</v>
      </c>
      <c r="W66" s="3">
        <v>5908</v>
      </c>
      <c r="X66" s="3">
        <v>7592</v>
      </c>
      <c r="Y66" s="3">
        <v>13500</v>
      </c>
    </row>
    <row r="67" spans="1:25" x14ac:dyDescent="0.25">
      <c r="A67" s="1" t="s">
        <v>129</v>
      </c>
      <c r="B67" s="2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t="s">
        <v>43</v>
      </c>
      <c r="N67" s="4" t="str">
        <f t="shared" ref="N67:N89" si="3">+LEFT(M67,12)</f>
        <v>Mountain-200</v>
      </c>
      <c r="O67" s="4" t="str">
        <f t="shared" ref="O67:O89" si="4">+MID(M67,14,5)</f>
        <v>Black</v>
      </c>
      <c r="P67" s="4" t="str">
        <f t="shared" ref="P67:P89" si="5">+RIGHT(M67,2)</f>
        <v>38</v>
      </c>
      <c r="Q67" t="s">
        <v>250</v>
      </c>
      <c r="R67" t="s">
        <v>251</v>
      </c>
      <c r="S67" s="5">
        <v>38</v>
      </c>
      <c r="T67">
        <v>4</v>
      </c>
      <c r="U67" s="3">
        <v>1252</v>
      </c>
      <c r="V67" s="3">
        <v>2295</v>
      </c>
      <c r="W67" s="3">
        <v>4172</v>
      </c>
      <c r="X67" s="3">
        <v>5008</v>
      </c>
      <c r="Y67" s="3">
        <v>9180</v>
      </c>
    </row>
    <row r="68" spans="1:25" x14ac:dyDescent="0.25">
      <c r="A68" s="1" t="s">
        <v>130</v>
      </c>
      <c r="B68" s="2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s="4" t="str">
        <f t="shared" si="3"/>
        <v>Mountain-200</v>
      </c>
      <c r="O68" s="4" t="str">
        <f t="shared" si="4"/>
        <v>Black</v>
      </c>
      <c r="P68" s="4" t="str">
        <f t="shared" si="5"/>
        <v>46</v>
      </c>
      <c r="Q68" t="s">
        <v>250</v>
      </c>
      <c r="R68" t="s">
        <v>251</v>
      </c>
      <c r="S68" s="5">
        <v>46</v>
      </c>
      <c r="T68">
        <v>4</v>
      </c>
      <c r="U68" s="3">
        <v>1252</v>
      </c>
      <c r="V68" s="3">
        <v>2295</v>
      </c>
      <c r="W68" s="3">
        <v>4172</v>
      </c>
      <c r="X68" s="3">
        <v>5008</v>
      </c>
      <c r="Y68" s="3">
        <v>9180</v>
      </c>
    </row>
    <row r="69" spans="1:25" x14ac:dyDescent="0.25">
      <c r="A69" s="1" t="s">
        <v>131</v>
      </c>
      <c r="B69" s="2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t="s">
        <v>27</v>
      </c>
      <c r="N69" s="4" t="str">
        <f t="shared" si="3"/>
        <v>Mountain-200</v>
      </c>
      <c r="O69" s="4" t="str">
        <f t="shared" si="4"/>
        <v>Black</v>
      </c>
      <c r="P69" s="4" t="str">
        <f t="shared" si="5"/>
        <v>46</v>
      </c>
      <c r="Q69" t="s">
        <v>250</v>
      </c>
      <c r="R69" t="s">
        <v>251</v>
      </c>
      <c r="S69" s="5">
        <v>46</v>
      </c>
      <c r="T69">
        <v>4</v>
      </c>
      <c r="U69" s="3">
        <v>1252</v>
      </c>
      <c r="V69" s="3">
        <v>2295</v>
      </c>
      <c r="W69" s="3">
        <v>4172</v>
      </c>
      <c r="X69" s="3">
        <v>5008</v>
      </c>
      <c r="Y69" s="3">
        <v>9180</v>
      </c>
    </row>
    <row r="70" spans="1:25" x14ac:dyDescent="0.25">
      <c r="A70" s="1" t="s">
        <v>132</v>
      </c>
      <c r="B70" s="2">
        <v>44549</v>
      </c>
      <c r="C70">
        <v>19</v>
      </c>
      <c r="D70" t="s">
        <v>20</v>
      </c>
      <c r="E70">
        <v>2021</v>
      </c>
      <c r="F70">
        <v>18</v>
      </c>
      <c r="G70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t="s">
        <v>81</v>
      </c>
      <c r="N70" s="4" t="str">
        <f t="shared" si="3"/>
        <v>Mountain-500</v>
      </c>
      <c r="O70" s="4" t="str">
        <f t="shared" si="4"/>
        <v>Black</v>
      </c>
      <c r="P70" s="4" t="str">
        <f t="shared" si="5"/>
        <v>40</v>
      </c>
      <c r="Q70" t="s">
        <v>253</v>
      </c>
      <c r="R70" t="s">
        <v>251</v>
      </c>
      <c r="S70" s="5">
        <v>40</v>
      </c>
      <c r="T70">
        <v>2</v>
      </c>
      <c r="U70" s="3">
        <v>295</v>
      </c>
      <c r="V70" s="3">
        <v>540</v>
      </c>
      <c r="W70" s="3">
        <v>490</v>
      </c>
      <c r="X70" s="3">
        <v>590</v>
      </c>
      <c r="Y70" s="3">
        <v>1080</v>
      </c>
    </row>
    <row r="71" spans="1:25" x14ac:dyDescent="0.25">
      <c r="A71" s="1" t="s">
        <v>134</v>
      </c>
      <c r="B71" s="2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t="s">
        <v>27</v>
      </c>
      <c r="N71" s="4" t="str">
        <f t="shared" si="3"/>
        <v>Mountain-200</v>
      </c>
      <c r="O71" s="4" t="str">
        <f t="shared" si="4"/>
        <v>Black</v>
      </c>
      <c r="P71" s="4" t="str">
        <f t="shared" si="5"/>
        <v>46</v>
      </c>
      <c r="Q71" t="s">
        <v>250</v>
      </c>
      <c r="R71" t="s">
        <v>251</v>
      </c>
      <c r="S71" s="5">
        <v>46</v>
      </c>
      <c r="T71">
        <v>2</v>
      </c>
      <c r="U71" s="3">
        <v>1252</v>
      </c>
      <c r="V71" s="3">
        <v>2295</v>
      </c>
      <c r="W71" s="3">
        <v>2086</v>
      </c>
      <c r="X71" s="3">
        <v>2504</v>
      </c>
      <c r="Y71" s="3">
        <v>4590</v>
      </c>
    </row>
    <row r="72" spans="1:25" x14ac:dyDescent="0.25">
      <c r="A72" s="1" t="s">
        <v>136</v>
      </c>
      <c r="B72" s="2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t="s">
        <v>53</v>
      </c>
      <c r="N72" s="4" t="str">
        <f t="shared" si="3"/>
        <v>Mountain-200</v>
      </c>
      <c r="O72" s="4" t="str">
        <f t="shared" si="4"/>
        <v>Silve</v>
      </c>
      <c r="P72" s="4" t="str">
        <f t="shared" si="5"/>
        <v>38</v>
      </c>
      <c r="Q72" t="s">
        <v>250</v>
      </c>
      <c r="R72" t="s">
        <v>252</v>
      </c>
      <c r="S72" s="5">
        <v>38</v>
      </c>
      <c r="T72">
        <v>1</v>
      </c>
      <c r="U72" s="3">
        <v>1266</v>
      </c>
      <c r="V72" s="3">
        <v>2320</v>
      </c>
      <c r="W72" s="3">
        <v>1054</v>
      </c>
      <c r="X72" s="3">
        <v>1266</v>
      </c>
      <c r="Y72" s="3">
        <v>2320</v>
      </c>
    </row>
    <row r="73" spans="1:25" x14ac:dyDescent="0.25">
      <c r="A73" s="1" t="s">
        <v>137</v>
      </c>
      <c r="B73" s="2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t="s">
        <v>74</v>
      </c>
      <c r="N73" s="4" t="str">
        <f t="shared" si="3"/>
        <v>Mountain-100</v>
      </c>
      <c r="O73" s="4" t="str">
        <f t="shared" si="4"/>
        <v>Black</v>
      </c>
      <c r="P73" s="4" t="str">
        <f t="shared" si="5"/>
        <v>38</v>
      </c>
      <c r="Q73" t="s">
        <v>254</v>
      </c>
      <c r="R73" t="s">
        <v>251</v>
      </c>
      <c r="S73" s="5">
        <v>38</v>
      </c>
      <c r="T73">
        <v>4</v>
      </c>
      <c r="U73" s="3">
        <v>1898</v>
      </c>
      <c r="V73" s="3">
        <v>3375</v>
      </c>
      <c r="W73" s="3">
        <v>5908</v>
      </c>
      <c r="X73" s="3">
        <v>7592</v>
      </c>
      <c r="Y73" s="3">
        <v>13500</v>
      </c>
    </row>
    <row r="74" spans="1:25" x14ac:dyDescent="0.25">
      <c r="A74" s="1" t="s">
        <v>138</v>
      </c>
      <c r="B74" s="2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t="s">
        <v>27</v>
      </c>
      <c r="N74" s="4" t="str">
        <f t="shared" si="3"/>
        <v>Mountain-200</v>
      </c>
      <c r="O74" s="4" t="str">
        <f t="shared" si="4"/>
        <v>Black</v>
      </c>
      <c r="P74" s="4" t="str">
        <f t="shared" si="5"/>
        <v>46</v>
      </c>
      <c r="Q74" t="s">
        <v>250</v>
      </c>
      <c r="R74" t="s">
        <v>251</v>
      </c>
      <c r="S74" s="5">
        <v>46</v>
      </c>
      <c r="T74">
        <v>4</v>
      </c>
      <c r="U74" s="3">
        <v>1252</v>
      </c>
      <c r="V74" s="3">
        <v>2295</v>
      </c>
      <c r="W74" s="3">
        <v>4172</v>
      </c>
      <c r="X74" s="3">
        <v>5008</v>
      </c>
      <c r="Y74" s="3">
        <v>9180</v>
      </c>
    </row>
    <row r="75" spans="1:25" x14ac:dyDescent="0.25">
      <c r="A75" s="1" t="s">
        <v>139</v>
      </c>
      <c r="B75" s="2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t="s">
        <v>140</v>
      </c>
      <c r="N75" s="4" t="str">
        <f t="shared" si="3"/>
        <v>Mountain-500</v>
      </c>
      <c r="O75" s="4" t="str">
        <f t="shared" si="4"/>
        <v>Black</v>
      </c>
      <c r="P75" s="4" t="str">
        <f t="shared" si="5"/>
        <v>52</v>
      </c>
      <c r="Q75" t="s">
        <v>253</v>
      </c>
      <c r="R75" t="s">
        <v>251</v>
      </c>
      <c r="S75" s="5">
        <v>52</v>
      </c>
      <c r="T75">
        <v>3</v>
      </c>
      <c r="U75" s="3">
        <v>295</v>
      </c>
      <c r="V75" s="3">
        <v>540</v>
      </c>
      <c r="W75" s="3">
        <v>735</v>
      </c>
      <c r="X75" s="3">
        <v>885</v>
      </c>
      <c r="Y75" s="3">
        <v>1620</v>
      </c>
    </row>
    <row r="76" spans="1:25" x14ac:dyDescent="0.25">
      <c r="A76" s="1" t="s">
        <v>141</v>
      </c>
      <c r="B76" s="2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t="s">
        <v>53</v>
      </c>
      <c r="N76" s="4" t="str">
        <f t="shared" si="3"/>
        <v>Mountain-200</v>
      </c>
      <c r="O76" s="4" t="str">
        <f t="shared" si="4"/>
        <v>Silve</v>
      </c>
      <c r="P76" s="4" t="str">
        <f t="shared" si="5"/>
        <v>38</v>
      </c>
      <c r="Q76" t="s">
        <v>250</v>
      </c>
      <c r="R76" t="s">
        <v>252</v>
      </c>
      <c r="S76" s="5">
        <v>38</v>
      </c>
      <c r="T76">
        <v>1</v>
      </c>
      <c r="U76" s="3">
        <v>1266</v>
      </c>
      <c r="V76" s="3">
        <v>2320</v>
      </c>
      <c r="W76" s="3">
        <v>1054</v>
      </c>
      <c r="X76" s="3">
        <v>1266</v>
      </c>
      <c r="Y76" s="3">
        <v>2320</v>
      </c>
    </row>
    <row r="77" spans="1:25" x14ac:dyDescent="0.25">
      <c r="A77" s="1" t="s">
        <v>142</v>
      </c>
      <c r="B77" s="2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t="s">
        <v>53</v>
      </c>
      <c r="N77" s="4" t="str">
        <f t="shared" si="3"/>
        <v>Mountain-200</v>
      </c>
      <c r="O77" s="4" t="str">
        <f t="shared" si="4"/>
        <v>Silve</v>
      </c>
      <c r="P77" s="4" t="str">
        <f t="shared" si="5"/>
        <v>38</v>
      </c>
      <c r="Q77" t="s">
        <v>250</v>
      </c>
      <c r="R77" t="s">
        <v>252</v>
      </c>
      <c r="S77" s="5">
        <v>38</v>
      </c>
      <c r="T77">
        <v>1</v>
      </c>
      <c r="U77" s="3">
        <v>1266</v>
      </c>
      <c r="V77" s="3">
        <v>2320</v>
      </c>
      <c r="W77" s="3">
        <v>1054</v>
      </c>
      <c r="X77" s="3">
        <v>1266</v>
      </c>
      <c r="Y77" s="3">
        <v>2320</v>
      </c>
    </row>
    <row r="78" spans="1:25" x14ac:dyDescent="0.25">
      <c r="A78" s="1" t="s">
        <v>143</v>
      </c>
      <c r="B78" s="2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t="s">
        <v>53</v>
      </c>
      <c r="N78" s="4" t="str">
        <f t="shared" si="3"/>
        <v>Mountain-200</v>
      </c>
      <c r="O78" s="4" t="str">
        <f t="shared" si="4"/>
        <v>Silve</v>
      </c>
      <c r="P78" s="4" t="str">
        <f t="shared" si="5"/>
        <v>38</v>
      </c>
      <c r="Q78" t="s">
        <v>250</v>
      </c>
      <c r="R78" t="s">
        <v>252</v>
      </c>
      <c r="S78" s="5">
        <v>38</v>
      </c>
      <c r="T78">
        <v>3</v>
      </c>
      <c r="U78" s="3">
        <v>1266</v>
      </c>
      <c r="V78" s="3">
        <v>2320</v>
      </c>
      <c r="W78" s="3">
        <v>3162</v>
      </c>
      <c r="X78" s="3">
        <v>3798</v>
      </c>
      <c r="Y78" s="3">
        <v>6960</v>
      </c>
    </row>
    <row r="79" spans="1:25" x14ac:dyDescent="0.25">
      <c r="A79" s="1" t="s">
        <v>145</v>
      </c>
      <c r="B79" s="2">
        <v>44551</v>
      </c>
      <c r="C79">
        <v>21</v>
      </c>
      <c r="D79" t="s">
        <v>20</v>
      </c>
      <c r="E79">
        <v>2021</v>
      </c>
      <c r="F79">
        <v>23</v>
      </c>
      <c r="G79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t="s">
        <v>34</v>
      </c>
      <c r="N79" s="4" t="str">
        <f>+LEFT(M79,14)</f>
        <v>Mountain-400-W</v>
      </c>
      <c r="O79" s="4" t="str">
        <f>+MID(M79,16,6)</f>
        <v>Silver</v>
      </c>
      <c r="P79" s="4" t="str">
        <f t="shared" si="5"/>
        <v>46</v>
      </c>
      <c r="Q79" t="s">
        <v>255</v>
      </c>
      <c r="R79" t="s">
        <v>256</v>
      </c>
      <c r="S79" s="5">
        <v>46</v>
      </c>
      <c r="T79">
        <v>2</v>
      </c>
      <c r="U79" s="3">
        <v>420</v>
      </c>
      <c r="V79" s="3">
        <v>769</v>
      </c>
      <c r="W79" s="3">
        <v>698</v>
      </c>
      <c r="X79" s="3">
        <v>840</v>
      </c>
      <c r="Y79" s="3">
        <v>1538</v>
      </c>
    </row>
    <row r="80" spans="1:25" x14ac:dyDescent="0.25">
      <c r="A80" s="1" t="s">
        <v>146</v>
      </c>
      <c r="B80" s="2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t="s">
        <v>53</v>
      </c>
      <c r="N80" s="4" t="str">
        <f t="shared" si="3"/>
        <v>Mountain-200</v>
      </c>
      <c r="O80" s="4" t="str">
        <f t="shared" si="4"/>
        <v>Silve</v>
      </c>
      <c r="P80" s="4" t="str">
        <f t="shared" si="5"/>
        <v>38</v>
      </c>
      <c r="Q80" t="s">
        <v>250</v>
      </c>
      <c r="R80" t="s">
        <v>252</v>
      </c>
      <c r="S80" s="5">
        <v>38</v>
      </c>
      <c r="T80">
        <v>3</v>
      </c>
      <c r="U80" s="3">
        <v>1266</v>
      </c>
      <c r="V80" s="3">
        <v>2320</v>
      </c>
      <c r="W80" s="3">
        <v>3162</v>
      </c>
      <c r="X80" s="3">
        <v>3798</v>
      </c>
      <c r="Y80" s="3">
        <v>6960</v>
      </c>
    </row>
    <row r="81" spans="1:25" x14ac:dyDescent="0.25">
      <c r="A81" s="1" t="s">
        <v>147</v>
      </c>
      <c r="B81" s="2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t="s">
        <v>60</v>
      </c>
      <c r="N81" s="4" t="str">
        <f t="shared" si="3"/>
        <v>Mountain-200</v>
      </c>
      <c r="O81" s="4" t="str">
        <f t="shared" si="4"/>
        <v>Black</v>
      </c>
      <c r="P81" s="4" t="str">
        <f t="shared" si="5"/>
        <v>42</v>
      </c>
      <c r="Q81" t="s">
        <v>250</v>
      </c>
      <c r="R81" t="s">
        <v>251</v>
      </c>
      <c r="S81" s="5">
        <v>42</v>
      </c>
      <c r="T81">
        <v>3</v>
      </c>
      <c r="U81" s="3">
        <v>1252</v>
      </c>
      <c r="V81" s="3">
        <v>2295</v>
      </c>
      <c r="W81" s="3">
        <v>3129</v>
      </c>
      <c r="X81" s="3">
        <v>3756</v>
      </c>
      <c r="Y81" s="3">
        <v>6885</v>
      </c>
    </row>
    <row r="82" spans="1:25" x14ac:dyDescent="0.25">
      <c r="A82" s="1" t="s">
        <v>148</v>
      </c>
      <c r="B82" s="2">
        <v>44552</v>
      </c>
      <c r="C82">
        <v>22</v>
      </c>
      <c r="D82" t="s">
        <v>20</v>
      </c>
      <c r="E82">
        <v>2021</v>
      </c>
      <c r="F82">
        <v>19</v>
      </c>
      <c r="G82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t="s">
        <v>66</v>
      </c>
      <c r="N82" s="4" t="str">
        <f t="shared" si="3"/>
        <v>Mountain-500</v>
      </c>
      <c r="O82" s="4" t="str">
        <f t="shared" si="4"/>
        <v>Silve</v>
      </c>
      <c r="P82" s="4" t="str">
        <f t="shared" si="5"/>
        <v>42</v>
      </c>
      <c r="Q82" t="s">
        <v>253</v>
      </c>
      <c r="R82" t="s">
        <v>252</v>
      </c>
      <c r="S82" s="5">
        <v>42</v>
      </c>
      <c r="T82">
        <v>1</v>
      </c>
      <c r="U82" s="3">
        <v>308</v>
      </c>
      <c r="V82" s="3">
        <v>565</v>
      </c>
      <c r="W82" s="3">
        <v>257</v>
      </c>
      <c r="X82" s="3">
        <v>308</v>
      </c>
      <c r="Y82" s="3">
        <v>565</v>
      </c>
    </row>
    <row r="83" spans="1:25" x14ac:dyDescent="0.25">
      <c r="A83" s="1" t="s">
        <v>149</v>
      </c>
      <c r="B83" s="2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t="s">
        <v>43</v>
      </c>
      <c r="N83" s="4" t="str">
        <f t="shared" si="3"/>
        <v>Mountain-200</v>
      </c>
      <c r="O83" s="4" t="str">
        <f t="shared" si="4"/>
        <v>Black</v>
      </c>
      <c r="P83" s="4" t="str">
        <f t="shared" si="5"/>
        <v>38</v>
      </c>
      <c r="Q83" t="s">
        <v>250</v>
      </c>
      <c r="R83" t="s">
        <v>251</v>
      </c>
      <c r="S83" s="5">
        <v>38</v>
      </c>
      <c r="T83">
        <v>1</v>
      </c>
      <c r="U83" s="3">
        <v>1252</v>
      </c>
      <c r="V83" s="3">
        <v>2295</v>
      </c>
      <c r="W83" s="3">
        <v>1043</v>
      </c>
      <c r="X83" s="3">
        <v>1252</v>
      </c>
      <c r="Y83" s="3">
        <v>2295</v>
      </c>
    </row>
    <row r="84" spans="1:25" x14ac:dyDescent="0.25">
      <c r="A84" s="1" t="s">
        <v>150</v>
      </c>
      <c r="B84" s="2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t="s">
        <v>27</v>
      </c>
      <c r="N84" s="4" t="str">
        <f t="shared" si="3"/>
        <v>Mountain-200</v>
      </c>
      <c r="O84" s="4" t="str">
        <f t="shared" si="4"/>
        <v>Black</v>
      </c>
      <c r="P84" s="4" t="str">
        <f t="shared" si="5"/>
        <v>46</v>
      </c>
      <c r="Q84" t="s">
        <v>250</v>
      </c>
      <c r="R84" t="s">
        <v>251</v>
      </c>
      <c r="S84" s="5">
        <v>46</v>
      </c>
      <c r="T84">
        <v>1</v>
      </c>
      <c r="U84" s="3">
        <v>1252</v>
      </c>
      <c r="V84" s="3">
        <v>2295</v>
      </c>
      <c r="W84" s="3">
        <v>1043</v>
      </c>
      <c r="X84" s="3">
        <v>1252</v>
      </c>
      <c r="Y84" s="3">
        <v>2295</v>
      </c>
    </row>
    <row r="85" spans="1:25" x14ac:dyDescent="0.25">
      <c r="A85" s="1" t="s">
        <v>151</v>
      </c>
      <c r="B85" s="2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t="s">
        <v>53</v>
      </c>
      <c r="N85" s="4" t="str">
        <f t="shared" si="3"/>
        <v>Mountain-200</v>
      </c>
      <c r="O85" s="4" t="str">
        <f t="shared" si="4"/>
        <v>Silve</v>
      </c>
      <c r="P85" s="4" t="str">
        <f t="shared" si="5"/>
        <v>38</v>
      </c>
      <c r="Q85" t="s">
        <v>250</v>
      </c>
      <c r="R85" t="s">
        <v>252</v>
      </c>
      <c r="S85" s="5">
        <v>38</v>
      </c>
      <c r="T85">
        <v>1</v>
      </c>
      <c r="U85" s="3">
        <v>1266</v>
      </c>
      <c r="V85" s="3">
        <v>2320</v>
      </c>
      <c r="W85" s="3">
        <v>1054</v>
      </c>
      <c r="X85" s="3">
        <v>1266</v>
      </c>
      <c r="Y85" s="3">
        <v>2320</v>
      </c>
    </row>
    <row r="86" spans="1:25" x14ac:dyDescent="0.25">
      <c r="A86" s="1" t="s">
        <v>152</v>
      </c>
      <c r="B86" s="2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t="s">
        <v>32</v>
      </c>
      <c r="N86" s="4" t="str">
        <f t="shared" si="3"/>
        <v>Mountain-200</v>
      </c>
      <c r="O86" s="4" t="str">
        <f t="shared" si="4"/>
        <v>Silve</v>
      </c>
      <c r="P86" s="4" t="str">
        <f t="shared" si="5"/>
        <v>42</v>
      </c>
      <c r="Q86" t="s">
        <v>250</v>
      </c>
      <c r="R86" t="s">
        <v>252</v>
      </c>
      <c r="S86" s="5">
        <v>42</v>
      </c>
      <c r="T86">
        <v>1</v>
      </c>
      <c r="U86" s="3">
        <v>1266</v>
      </c>
      <c r="V86" s="3">
        <v>2320</v>
      </c>
      <c r="W86" s="3">
        <v>1054</v>
      </c>
      <c r="X86" s="3">
        <v>1266</v>
      </c>
      <c r="Y86" s="3">
        <v>2320</v>
      </c>
    </row>
    <row r="87" spans="1:25" x14ac:dyDescent="0.25">
      <c r="A87" s="1" t="s">
        <v>153</v>
      </c>
      <c r="B87" s="2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t="s">
        <v>60</v>
      </c>
      <c r="N87" s="4" t="str">
        <f t="shared" si="3"/>
        <v>Mountain-200</v>
      </c>
      <c r="O87" s="4" t="str">
        <f t="shared" si="4"/>
        <v>Black</v>
      </c>
      <c r="P87" s="4" t="str">
        <f t="shared" si="5"/>
        <v>42</v>
      </c>
      <c r="Q87" t="s">
        <v>250</v>
      </c>
      <c r="R87" t="s">
        <v>251</v>
      </c>
      <c r="S87" s="5">
        <v>42</v>
      </c>
      <c r="T87">
        <v>1</v>
      </c>
      <c r="U87" s="3">
        <v>1252</v>
      </c>
      <c r="V87" s="3">
        <v>2295</v>
      </c>
      <c r="W87" s="3">
        <v>1043</v>
      </c>
      <c r="X87" s="3">
        <v>1252</v>
      </c>
      <c r="Y87" s="3">
        <v>2295</v>
      </c>
    </row>
    <row r="88" spans="1:25" x14ac:dyDescent="0.25">
      <c r="A88" s="1" t="s">
        <v>154</v>
      </c>
      <c r="B88" s="2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71</v>
      </c>
      <c r="N88" s="4" t="str">
        <f t="shared" si="3"/>
        <v>Mountain-500</v>
      </c>
      <c r="O88" s="4" t="str">
        <f t="shared" si="4"/>
        <v>Black</v>
      </c>
      <c r="P88" s="4" t="str">
        <f t="shared" si="5"/>
        <v>42</v>
      </c>
      <c r="Q88" t="s">
        <v>253</v>
      </c>
      <c r="R88" t="s">
        <v>251</v>
      </c>
      <c r="S88" s="5">
        <v>42</v>
      </c>
      <c r="T88">
        <v>1</v>
      </c>
      <c r="U88" s="3">
        <v>295</v>
      </c>
      <c r="V88" s="3">
        <v>540</v>
      </c>
      <c r="W88" s="3">
        <v>245</v>
      </c>
      <c r="X88" s="3">
        <v>295</v>
      </c>
      <c r="Y88" s="3">
        <v>540</v>
      </c>
    </row>
    <row r="89" spans="1:25" x14ac:dyDescent="0.25">
      <c r="A89" s="1" t="s">
        <v>155</v>
      </c>
      <c r="B89" s="2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t="s">
        <v>60</v>
      </c>
      <c r="N89" s="4" t="str">
        <f t="shared" si="3"/>
        <v>Mountain-200</v>
      </c>
      <c r="O89" s="4" t="str">
        <f t="shared" si="4"/>
        <v>Black</v>
      </c>
      <c r="P89" s="4" t="str">
        <f t="shared" si="5"/>
        <v>42</v>
      </c>
      <c r="Q89" t="s">
        <v>250</v>
      </c>
      <c r="R89" t="s">
        <v>251</v>
      </c>
      <c r="S89" s="5">
        <v>42</v>
      </c>
      <c r="T89">
        <v>4</v>
      </c>
      <c r="U89" s="3">
        <v>1252</v>
      </c>
      <c r="V89" s="3">
        <v>2295</v>
      </c>
      <c r="W89" s="3">
        <v>4172</v>
      </c>
      <c r="X89" s="3">
        <v>5008</v>
      </c>
      <c r="Y89" s="3">
        <v>9180</v>
      </c>
    </row>
  </sheetData>
  <autoFilter ref="A1:Y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2"/>
  <sheetViews>
    <sheetView tabSelected="1" topLeftCell="B1" workbookViewId="0">
      <selection activeCell="D1" sqref="D1"/>
    </sheetView>
  </sheetViews>
  <sheetFormatPr baseColWidth="10" defaultRowHeight="15" x14ac:dyDescent="0.25"/>
  <cols>
    <col min="8" max="8" width="19.28515625" bestFit="1" customWidth="1"/>
    <col min="9" max="9" width="15.28515625" bestFit="1" customWidth="1"/>
    <col min="10" max="10" width="24.5703125" bestFit="1" customWidth="1"/>
    <col min="12" max="12" width="14.7109375" bestFit="1" customWidth="1"/>
    <col min="14" max="14" width="14.85546875" bestFit="1" customWidth="1"/>
  </cols>
  <sheetData>
    <row r="1" spans="1:24" x14ac:dyDescent="0.25">
      <c r="D1" s="12" t="s">
        <v>265</v>
      </c>
      <c r="E1" s="12"/>
      <c r="F1" s="12" t="s">
        <v>264</v>
      </c>
      <c r="G1" s="12"/>
      <c r="H1" s="9" t="s">
        <v>263</v>
      </c>
      <c r="I1" s="9"/>
      <c r="J1" s="8" t="s">
        <v>262</v>
      </c>
      <c r="L1" s="4" t="s">
        <v>261</v>
      </c>
      <c r="M1">
        <f>+COUNTBLANK(N5:N92)</f>
        <v>0</v>
      </c>
      <c r="N1" s="4" t="s">
        <v>257</v>
      </c>
      <c r="O1" s="4">
        <f>+COUNT(N5:N92)</f>
        <v>88</v>
      </c>
      <c r="Q1" s="4" t="s">
        <v>259</v>
      </c>
      <c r="R1">
        <f>+COUNTA(N5:N92)</f>
        <v>88</v>
      </c>
    </row>
    <row r="2" spans="1:24" x14ac:dyDescent="0.25">
      <c r="D2" s="12" t="s">
        <v>37</v>
      </c>
      <c r="E2" s="13">
        <f>+_xlfn.MAXIFS($T$5:$T$92,$I$5:$I$92,D2)</f>
        <v>13500</v>
      </c>
      <c r="F2" s="12" t="s">
        <v>37</v>
      </c>
      <c r="G2" s="13">
        <f>+_xlfn.MINIFS($T$5:$T$92,$I$5:$I$92,F2)</f>
        <v>565</v>
      </c>
      <c r="H2" s="9" t="s">
        <v>21</v>
      </c>
      <c r="I2" s="10">
        <f>+AVERAGEIF($G$5:$G$92,H2,$T$5:$T$92)</f>
        <v>4388.4255319148933</v>
      </c>
      <c r="J2" s="8" t="s">
        <v>39</v>
      </c>
      <c r="K2" s="8">
        <f>+COUNTIF($M$5:$M$92,J2)</f>
        <v>4</v>
      </c>
      <c r="L2" s="6" t="s">
        <v>261</v>
      </c>
      <c r="M2">
        <f>+COUNTBLANK(O5:O92)</f>
        <v>1</v>
      </c>
      <c r="N2" s="6" t="s">
        <v>257</v>
      </c>
      <c r="O2" s="6">
        <f>+COUNT(O5:O92)</f>
        <v>85</v>
      </c>
      <c r="Q2" s="6" t="s">
        <v>259</v>
      </c>
      <c r="R2">
        <f>+COUNTA(O5:O92)</f>
        <v>87</v>
      </c>
    </row>
    <row r="4" spans="1:24" x14ac:dyDescent="0.25">
      <c r="A4" s="1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</row>
    <row r="5" spans="1:24" x14ac:dyDescent="0.25">
      <c r="A5" s="1" t="s">
        <v>19</v>
      </c>
      <c r="B5" s="2">
        <v>44531</v>
      </c>
      <c r="C5">
        <v>1</v>
      </c>
      <c r="D5" t="s">
        <v>20</v>
      </c>
      <c r="E5">
        <v>2021</v>
      </c>
      <c r="F5">
        <v>39</v>
      </c>
      <c r="G5" s="9" t="s">
        <v>21</v>
      </c>
      <c r="H5" t="s">
        <v>22</v>
      </c>
      <c r="I5" s="12" t="s">
        <v>23</v>
      </c>
      <c r="J5" t="s">
        <v>24</v>
      </c>
      <c r="K5" t="s">
        <v>25</v>
      </c>
      <c r="L5" t="s">
        <v>26</v>
      </c>
      <c r="M5" t="s">
        <v>27</v>
      </c>
      <c r="N5">
        <v>4</v>
      </c>
      <c r="O5" s="7" t="s">
        <v>258</v>
      </c>
      <c r="P5" s="3">
        <v>1252</v>
      </c>
      <c r="Q5" s="3">
        <v>2295</v>
      </c>
      <c r="R5" s="3">
        <v>4172</v>
      </c>
      <c r="S5" s="3">
        <v>5008</v>
      </c>
      <c r="T5" s="14">
        <v>9180</v>
      </c>
      <c r="V5" s="9" t="s">
        <v>21</v>
      </c>
      <c r="X5" s="12" t="s">
        <v>23</v>
      </c>
    </row>
    <row r="6" spans="1:24" x14ac:dyDescent="0.25">
      <c r="A6" s="1" t="s">
        <v>28</v>
      </c>
      <c r="B6" s="2">
        <v>44531</v>
      </c>
      <c r="C6">
        <v>1</v>
      </c>
      <c r="D6" t="s">
        <v>20</v>
      </c>
      <c r="E6">
        <v>2021</v>
      </c>
      <c r="F6">
        <v>44</v>
      </c>
      <c r="G6" s="9" t="s">
        <v>21</v>
      </c>
      <c r="H6" t="s">
        <v>29</v>
      </c>
      <c r="I6" s="12" t="s">
        <v>30</v>
      </c>
      <c r="J6" t="s">
        <v>31</v>
      </c>
      <c r="K6" t="s">
        <v>25</v>
      </c>
      <c r="L6" t="s">
        <v>26</v>
      </c>
      <c r="M6" t="s">
        <v>32</v>
      </c>
      <c r="N6">
        <v>1</v>
      </c>
      <c r="O6">
        <v>1</v>
      </c>
      <c r="P6" s="3">
        <v>1266</v>
      </c>
      <c r="Q6" s="3">
        <v>2320</v>
      </c>
      <c r="R6" s="3">
        <v>1054</v>
      </c>
      <c r="S6" s="3">
        <v>1266</v>
      </c>
      <c r="T6" s="14">
        <v>2320</v>
      </c>
      <c r="V6" s="9" t="s">
        <v>36</v>
      </c>
      <c r="X6" s="12" t="s">
        <v>30</v>
      </c>
    </row>
    <row r="7" spans="1:24" x14ac:dyDescent="0.25">
      <c r="A7" s="1" t="s">
        <v>33</v>
      </c>
      <c r="B7" s="2">
        <v>44532</v>
      </c>
      <c r="C7">
        <v>2</v>
      </c>
      <c r="D7" t="s">
        <v>20</v>
      </c>
      <c r="E7">
        <v>2021</v>
      </c>
      <c r="F7">
        <v>37</v>
      </c>
      <c r="G7" s="9" t="s">
        <v>21</v>
      </c>
      <c r="H7" t="s">
        <v>29</v>
      </c>
      <c r="I7" s="12" t="s">
        <v>23</v>
      </c>
      <c r="J7" t="s">
        <v>24</v>
      </c>
      <c r="K7" t="s">
        <v>25</v>
      </c>
      <c r="L7" t="s">
        <v>26</v>
      </c>
      <c r="M7" t="s">
        <v>34</v>
      </c>
      <c r="N7">
        <v>2</v>
      </c>
      <c r="O7" s="6"/>
      <c r="P7" s="3">
        <v>420</v>
      </c>
      <c r="Q7" s="3">
        <v>769</v>
      </c>
      <c r="R7" s="3">
        <v>698</v>
      </c>
      <c r="S7" s="3">
        <v>840</v>
      </c>
      <c r="T7" s="14">
        <v>1538</v>
      </c>
      <c r="V7" s="9" t="s">
        <v>42</v>
      </c>
      <c r="X7" s="12" t="s">
        <v>37</v>
      </c>
    </row>
    <row r="8" spans="1:24" x14ac:dyDescent="0.25">
      <c r="A8" s="1" t="s">
        <v>35</v>
      </c>
      <c r="B8" s="2">
        <v>44532</v>
      </c>
      <c r="C8">
        <v>2</v>
      </c>
      <c r="D8" t="s">
        <v>20</v>
      </c>
      <c r="E8">
        <v>2021</v>
      </c>
      <c r="F8">
        <v>31</v>
      </c>
      <c r="G8" s="9" t="s">
        <v>36</v>
      </c>
      <c r="H8" t="s">
        <v>22</v>
      </c>
      <c r="I8" s="12" t="s">
        <v>37</v>
      </c>
      <c r="J8" t="s">
        <v>38</v>
      </c>
      <c r="K8" t="s">
        <v>25</v>
      </c>
      <c r="L8" t="s">
        <v>26</v>
      </c>
      <c r="M8" t="s">
        <v>39</v>
      </c>
      <c r="N8">
        <v>1</v>
      </c>
      <c r="O8">
        <v>1</v>
      </c>
      <c r="P8" s="3">
        <v>420</v>
      </c>
      <c r="Q8" s="3">
        <v>769</v>
      </c>
      <c r="R8" s="3">
        <v>349</v>
      </c>
      <c r="S8" s="3">
        <v>420</v>
      </c>
      <c r="T8" s="14">
        <v>769</v>
      </c>
      <c r="X8" s="12" t="s">
        <v>49</v>
      </c>
    </row>
    <row r="9" spans="1:24" x14ac:dyDescent="0.25">
      <c r="A9" s="1" t="s">
        <v>40</v>
      </c>
      <c r="B9" s="2">
        <v>44533</v>
      </c>
      <c r="C9">
        <v>3</v>
      </c>
      <c r="D9" t="s">
        <v>20</v>
      </c>
      <c r="E9">
        <v>2021</v>
      </c>
      <c r="F9">
        <v>37</v>
      </c>
      <c r="G9" s="9" t="s">
        <v>21</v>
      </c>
      <c r="H9" t="s">
        <v>22</v>
      </c>
      <c r="I9" s="12" t="s">
        <v>23</v>
      </c>
      <c r="J9" t="s">
        <v>24</v>
      </c>
      <c r="K9" t="s">
        <v>25</v>
      </c>
      <c r="L9" t="s">
        <v>26</v>
      </c>
      <c r="M9" t="s">
        <v>27</v>
      </c>
      <c r="N9">
        <v>2</v>
      </c>
      <c r="O9" s="1" t="s">
        <v>260</v>
      </c>
      <c r="P9" s="3">
        <v>1252</v>
      </c>
      <c r="Q9" s="3">
        <v>2295</v>
      </c>
      <c r="R9" s="3">
        <v>2086</v>
      </c>
      <c r="S9" s="3">
        <v>2504</v>
      </c>
      <c r="T9" s="11">
        <v>4590</v>
      </c>
      <c r="X9" s="12" t="s">
        <v>57</v>
      </c>
    </row>
    <row r="10" spans="1:24" x14ac:dyDescent="0.25">
      <c r="A10" s="1" t="s">
        <v>41</v>
      </c>
      <c r="B10" s="2">
        <v>44533</v>
      </c>
      <c r="C10">
        <v>3</v>
      </c>
      <c r="D10" t="s">
        <v>20</v>
      </c>
      <c r="E10">
        <v>2021</v>
      </c>
      <c r="F10">
        <v>24</v>
      </c>
      <c r="G10" s="9" t="s">
        <v>42</v>
      </c>
      <c r="H10" t="s">
        <v>22</v>
      </c>
      <c r="I10" s="12" t="s">
        <v>30</v>
      </c>
      <c r="J10" t="s">
        <v>31</v>
      </c>
      <c r="K10" t="s">
        <v>25</v>
      </c>
      <c r="L10" t="s">
        <v>26</v>
      </c>
      <c r="M10" t="s">
        <v>43</v>
      </c>
      <c r="N10">
        <v>1</v>
      </c>
      <c r="O10">
        <v>1</v>
      </c>
      <c r="P10" s="3">
        <v>1252</v>
      </c>
      <c r="Q10" s="3">
        <v>2295</v>
      </c>
      <c r="R10" s="3">
        <v>1043</v>
      </c>
      <c r="S10" s="3">
        <v>1252</v>
      </c>
      <c r="T10" s="11">
        <v>2295</v>
      </c>
      <c r="X10" s="12" t="s">
        <v>86</v>
      </c>
    </row>
    <row r="11" spans="1:24" x14ac:dyDescent="0.25">
      <c r="A11" s="1" t="s">
        <v>44</v>
      </c>
      <c r="B11" s="2">
        <v>44533</v>
      </c>
      <c r="C11">
        <v>3</v>
      </c>
      <c r="D11" t="s">
        <v>20</v>
      </c>
      <c r="E11">
        <v>2021</v>
      </c>
      <c r="F11">
        <v>37</v>
      </c>
      <c r="G11" s="9" t="s">
        <v>21</v>
      </c>
      <c r="H11" t="s">
        <v>29</v>
      </c>
      <c r="I11" s="12" t="s">
        <v>23</v>
      </c>
      <c r="J11" t="s">
        <v>45</v>
      </c>
      <c r="K11" t="s">
        <v>25</v>
      </c>
      <c r="L11" t="s">
        <v>26</v>
      </c>
      <c r="M11" t="s">
        <v>27</v>
      </c>
      <c r="N11">
        <v>1</v>
      </c>
      <c r="O11">
        <v>1</v>
      </c>
      <c r="P11" s="3">
        <v>1252</v>
      </c>
      <c r="Q11" s="3">
        <v>2295</v>
      </c>
      <c r="R11" s="3">
        <v>1043</v>
      </c>
      <c r="S11" s="3">
        <v>1252</v>
      </c>
      <c r="T11" s="11">
        <v>2295</v>
      </c>
    </row>
    <row r="12" spans="1:24" x14ac:dyDescent="0.25">
      <c r="A12" s="1" t="s">
        <v>46</v>
      </c>
      <c r="B12" s="2">
        <v>44534</v>
      </c>
      <c r="C12">
        <v>4</v>
      </c>
      <c r="D12" t="s">
        <v>20</v>
      </c>
      <c r="E12">
        <v>2021</v>
      </c>
      <c r="F12">
        <v>31</v>
      </c>
      <c r="G12" s="9" t="s">
        <v>36</v>
      </c>
      <c r="H12" t="s">
        <v>22</v>
      </c>
      <c r="I12" s="12" t="s">
        <v>37</v>
      </c>
      <c r="J12" t="s">
        <v>38</v>
      </c>
      <c r="K12" t="s">
        <v>25</v>
      </c>
      <c r="L12" t="s">
        <v>26</v>
      </c>
      <c r="M12" t="s">
        <v>39</v>
      </c>
      <c r="N12">
        <v>4</v>
      </c>
      <c r="O12">
        <v>4</v>
      </c>
      <c r="P12" s="3">
        <v>420</v>
      </c>
      <c r="Q12" s="3">
        <v>769</v>
      </c>
      <c r="R12" s="3">
        <v>1396</v>
      </c>
      <c r="S12" s="3">
        <v>1680</v>
      </c>
      <c r="T12" s="11">
        <v>3076</v>
      </c>
    </row>
    <row r="13" spans="1:24" x14ac:dyDescent="0.25">
      <c r="A13" s="1" t="s">
        <v>47</v>
      </c>
      <c r="B13" s="2">
        <v>44535</v>
      </c>
      <c r="C13">
        <v>5</v>
      </c>
      <c r="D13" t="s">
        <v>20</v>
      </c>
      <c r="E13">
        <v>2021</v>
      </c>
      <c r="F13">
        <v>39</v>
      </c>
      <c r="G13" s="9" t="s">
        <v>21</v>
      </c>
      <c r="H13" t="s">
        <v>22</v>
      </c>
      <c r="I13" s="12" t="s">
        <v>23</v>
      </c>
      <c r="J13" t="s">
        <v>24</v>
      </c>
      <c r="K13" t="s">
        <v>25</v>
      </c>
      <c r="L13" t="s">
        <v>26</v>
      </c>
      <c r="M13" t="s">
        <v>27</v>
      </c>
      <c r="N13">
        <v>4</v>
      </c>
      <c r="O13">
        <v>4</v>
      </c>
      <c r="P13" s="3">
        <v>1252</v>
      </c>
      <c r="Q13" s="3">
        <v>2295</v>
      </c>
      <c r="R13" s="3">
        <v>4172</v>
      </c>
      <c r="S13" s="3">
        <v>5008</v>
      </c>
      <c r="T13" s="11">
        <v>9180</v>
      </c>
    </row>
    <row r="14" spans="1:24" x14ac:dyDescent="0.25">
      <c r="A14" s="1" t="s">
        <v>48</v>
      </c>
      <c r="B14" s="2">
        <v>44535</v>
      </c>
      <c r="C14">
        <v>5</v>
      </c>
      <c r="D14" t="s">
        <v>20</v>
      </c>
      <c r="E14">
        <v>2021</v>
      </c>
      <c r="F14">
        <v>42</v>
      </c>
      <c r="G14" s="9" t="s">
        <v>21</v>
      </c>
      <c r="H14" t="s">
        <v>29</v>
      </c>
      <c r="I14" s="12" t="s">
        <v>49</v>
      </c>
      <c r="J14" t="s">
        <v>50</v>
      </c>
      <c r="K14" t="s">
        <v>25</v>
      </c>
      <c r="L14" t="s">
        <v>26</v>
      </c>
      <c r="M14" t="s">
        <v>43</v>
      </c>
      <c r="N14">
        <v>4</v>
      </c>
      <c r="O14">
        <v>4</v>
      </c>
      <c r="P14" s="3">
        <v>1252</v>
      </c>
      <c r="Q14" s="3">
        <v>2295</v>
      </c>
      <c r="R14" s="3">
        <v>4172</v>
      </c>
      <c r="S14" s="3">
        <v>5008</v>
      </c>
      <c r="T14" s="11">
        <v>9180</v>
      </c>
    </row>
    <row r="15" spans="1:24" x14ac:dyDescent="0.25">
      <c r="A15" s="1" t="s">
        <v>51</v>
      </c>
      <c r="B15" s="2">
        <v>44535</v>
      </c>
      <c r="C15">
        <v>5</v>
      </c>
      <c r="D15" t="s">
        <v>20</v>
      </c>
      <c r="E15">
        <v>2021</v>
      </c>
      <c r="F15">
        <v>35</v>
      </c>
      <c r="G15" s="9" t="s">
        <v>21</v>
      </c>
      <c r="H15" t="s">
        <v>22</v>
      </c>
      <c r="I15" s="12" t="s">
        <v>37</v>
      </c>
      <c r="J15" t="s">
        <v>52</v>
      </c>
      <c r="K15" t="s">
        <v>25</v>
      </c>
      <c r="L15" t="s">
        <v>26</v>
      </c>
      <c r="M15" t="s">
        <v>53</v>
      </c>
      <c r="N15">
        <v>1</v>
      </c>
      <c r="O15">
        <v>1</v>
      </c>
      <c r="P15" s="3">
        <v>1266</v>
      </c>
      <c r="Q15" s="3">
        <v>2320</v>
      </c>
      <c r="R15" s="3">
        <v>1054</v>
      </c>
      <c r="S15" s="3">
        <v>1266</v>
      </c>
      <c r="T15" s="11">
        <v>2320</v>
      </c>
    </row>
    <row r="16" spans="1:24" x14ac:dyDescent="0.25">
      <c r="A16" s="1" t="s">
        <v>54</v>
      </c>
      <c r="B16" s="2">
        <v>44535</v>
      </c>
      <c r="C16">
        <v>5</v>
      </c>
      <c r="D16" t="s">
        <v>20</v>
      </c>
      <c r="E16">
        <v>2021</v>
      </c>
      <c r="F16">
        <v>37</v>
      </c>
      <c r="G16" s="9" t="s">
        <v>21</v>
      </c>
      <c r="H16" t="s">
        <v>22</v>
      </c>
      <c r="I16" s="12" t="s">
        <v>23</v>
      </c>
      <c r="J16" t="s">
        <v>24</v>
      </c>
      <c r="K16" t="s">
        <v>25</v>
      </c>
      <c r="L16" t="s">
        <v>26</v>
      </c>
      <c r="M16" t="s">
        <v>27</v>
      </c>
      <c r="N16">
        <v>1</v>
      </c>
      <c r="O16">
        <v>1</v>
      </c>
      <c r="P16" s="3">
        <v>1252</v>
      </c>
      <c r="Q16" s="3">
        <v>2295</v>
      </c>
      <c r="R16" s="3">
        <v>1043</v>
      </c>
      <c r="S16" s="3">
        <v>1252</v>
      </c>
      <c r="T16" s="11">
        <v>2295</v>
      </c>
    </row>
    <row r="17" spans="1:20" x14ac:dyDescent="0.25">
      <c r="A17" s="1" t="s">
        <v>55</v>
      </c>
      <c r="B17" s="2">
        <v>44536</v>
      </c>
      <c r="C17">
        <v>6</v>
      </c>
      <c r="D17" t="s">
        <v>20</v>
      </c>
      <c r="E17">
        <v>2021</v>
      </c>
      <c r="F17">
        <v>23</v>
      </c>
      <c r="G17" s="9" t="s">
        <v>42</v>
      </c>
      <c r="H17" t="s">
        <v>29</v>
      </c>
      <c r="I17" s="12" t="s">
        <v>30</v>
      </c>
      <c r="J17" t="s">
        <v>31</v>
      </c>
      <c r="K17" t="s">
        <v>25</v>
      </c>
      <c r="L17" t="s">
        <v>26</v>
      </c>
      <c r="M17" t="s">
        <v>34</v>
      </c>
      <c r="N17">
        <v>3</v>
      </c>
      <c r="O17">
        <v>3</v>
      </c>
      <c r="P17" s="3">
        <v>420</v>
      </c>
      <c r="Q17" s="3">
        <v>769</v>
      </c>
      <c r="R17" s="3">
        <v>1047</v>
      </c>
      <c r="S17" s="3">
        <v>1260</v>
      </c>
      <c r="T17" s="11">
        <v>2307</v>
      </c>
    </row>
    <row r="18" spans="1:20" x14ac:dyDescent="0.25">
      <c r="A18" s="1" t="s">
        <v>56</v>
      </c>
      <c r="B18" s="2">
        <v>44536</v>
      </c>
      <c r="C18">
        <v>6</v>
      </c>
      <c r="D18" t="s">
        <v>20</v>
      </c>
      <c r="E18">
        <v>2021</v>
      </c>
      <c r="F18">
        <v>27</v>
      </c>
      <c r="G18" s="9" t="s">
        <v>36</v>
      </c>
      <c r="H18" t="s">
        <v>29</v>
      </c>
      <c r="I18" s="12" t="s">
        <v>57</v>
      </c>
      <c r="J18" t="s">
        <v>58</v>
      </c>
      <c r="K18" t="s">
        <v>25</v>
      </c>
      <c r="L18" t="s">
        <v>26</v>
      </c>
      <c r="M18" t="s">
        <v>27</v>
      </c>
      <c r="N18">
        <v>1</v>
      </c>
      <c r="O18">
        <v>1</v>
      </c>
      <c r="P18" s="3">
        <v>1252</v>
      </c>
      <c r="Q18" s="3">
        <v>2295</v>
      </c>
      <c r="R18" s="3">
        <v>1043</v>
      </c>
      <c r="S18" s="3">
        <v>1252</v>
      </c>
      <c r="T18" s="11">
        <v>2295</v>
      </c>
    </row>
    <row r="19" spans="1:20" x14ac:dyDescent="0.25">
      <c r="A19" s="1" t="s">
        <v>59</v>
      </c>
      <c r="B19" s="2">
        <v>44536</v>
      </c>
      <c r="C19">
        <v>6</v>
      </c>
      <c r="D19" t="s">
        <v>20</v>
      </c>
      <c r="E19">
        <v>2021</v>
      </c>
      <c r="F19">
        <v>36</v>
      </c>
      <c r="G19" s="9" t="s">
        <v>21</v>
      </c>
      <c r="H19" t="s">
        <v>29</v>
      </c>
      <c r="I19" s="12" t="s">
        <v>37</v>
      </c>
      <c r="J19" t="s">
        <v>38</v>
      </c>
      <c r="K19" t="s">
        <v>25</v>
      </c>
      <c r="L19" t="s">
        <v>26</v>
      </c>
      <c r="M19" t="s">
        <v>60</v>
      </c>
      <c r="N19">
        <v>1</v>
      </c>
      <c r="O19">
        <v>1</v>
      </c>
      <c r="P19" s="3">
        <v>1252</v>
      </c>
      <c r="Q19" s="3">
        <v>2295</v>
      </c>
      <c r="R19" s="3">
        <v>1043</v>
      </c>
      <c r="S19" s="3">
        <v>1252</v>
      </c>
      <c r="T19" s="11">
        <v>2295</v>
      </c>
    </row>
    <row r="20" spans="1:20" x14ac:dyDescent="0.25">
      <c r="A20" s="1" t="s">
        <v>61</v>
      </c>
      <c r="B20" s="2">
        <v>44536</v>
      </c>
      <c r="C20">
        <v>6</v>
      </c>
      <c r="D20" t="s">
        <v>20</v>
      </c>
      <c r="E20">
        <v>2021</v>
      </c>
      <c r="F20">
        <v>47</v>
      </c>
      <c r="G20" s="9" t="s">
        <v>21</v>
      </c>
      <c r="H20" t="s">
        <v>29</v>
      </c>
      <c r="I20" s="12" t="s">
        <v>30</v>
      </c>
      <c r="J20" t="s">
        <v>31</v>
      </c>
      <c r="K20" t="s">
        <v>25</v>
      </c>
      <c r="L20" t="s">
        <v>26</v>
      </c>
      <c r="M20" t="s">
        <v>53</v>
      </c>
      <c r="N20">
        <v>1</v>
      </c>
      <c r="O20">
        <v>1</v>
      </c>
      <c r="P20" s="3">
        <v>1266</v>
      </c>
      <c r="Q20" s="3">
        <v>2320</v>
      </c>
      <c r="R20" s="3">
        <v>1054</v>
      </c>
      <c r="S20" s="3">
        <v>1266</v>
      </c>
      <c r="T20" s="11">
        <v>2320</v>
      </c>
    </row>
    <row r="21" spans="1:20" x14ac:dyDescent="0.25">
      <c r="A21" s="1" t="s">
        <v>62</v>
      </c>
      <c r="B21" s="2">
        <v>44537</v>
      </c>
      <c r="C21">
        <v>7</v>
      </c>
      <c r="D21" t="s">
        <v>20</v>
      </c>
      <c r="E21">
        <v>2021</v>
      </c>
      <c r="F21">
        <v>30</v>
      </c>
      <c r="G21" s="9" t="s">
        <v>36</v>
      </c>
      <c r="H21" t="s">
        <v>29</v>
      </c>
      <c r="I21" s="12" t="s">
        <v>23</v>
      </c>
      <c r="J21" t="s">
        <v>24</v>
      </c>
      <c r="K21" t="s">
        <v>25</v>
      </c>
      <c r="L21" t="s">
        <v>26</v>
      </c>
      <c r="M21" t="s">
        <v>63</v>
      </c>
      <c r="N21">
        <v>4</v>
      </c>
      <c r="O21">
        <v>4</v>
      </c>
      <c r="P21" s="3">
        <v>420</v>
      </c>
      <c r="Q21" s="3">
        <v>769</v>
      </c>
      <c r="R21" s="3">
        <v>1396</v>
      </c>
      <c r="S21" s="3">
        <v>1680</v>
      </c>
      <c r="T21" s="11">
        <v>3076</v>
      </c>
    </row>
    <row r="22" spans="1:20" x14ac:dyDescent="0.25">
      <c r="A22" s="1" t="s">
        <v>64</v>
      </c>
      <c r="B22" s="2">
        <v>44537</v>
      </c>
      <c r="C22">
        <v>7</v>
      </c>
      <c r="D22" t="s">
        <v>20</v>
      </c>
      <c r="E22">
        <v>2021</v>
      </c>
      <c r="F22">
        <v>38</v>
      </c>
      <c r="G22" s="9" t="s">
        <v>21</v>
      </c>
      <c r="H22" t="s">
        <v>29</v>
      </c>
      <c r="I22" s="12" t="s">
        <v>23</v>
      </c>
      <c r="J22" t="s">
        <v>24</v>
      </c>
      <c r="K22" t="s">
        <v>25</v>
      </c>
      <c r="L22" t="s">
        <v>26</v>
      </c>
      <c r="M22" t="s">
        <v>32</v>
      </c>
      <c r="N22">
        <v>2</v>
      </c>
      <c r="O22">
        <v>2</v>
      </c>
      <c r="P22" s="3">
        <v>1266</v>
      </c>
      <c r="Q22" s="3">
        <v>2320</v>
      </c>
      <c r="R22" s="3">
        <v>2108</v>
      </c>
      <c r="S22" s="3">
        <v>2532</v>
      </c>
      <c r="T22" s="11">
        <v>4640</v>
      </c>
    </row>
    <row r="23" spans="1:20" x14ac:dyDescent="0.25">
      <c r="A23" s="1" t="s">
        <v>65</v>
      </c>
      <c r="B23" s="2">
        <v>44538</v>
      </c>
      <c r="C23">
        <v>8</v>
      </c>
      <c r="D23" t="s">
        <v>20</v>
      </c>
      <c r="E23">
        <v>2021</v>
      </c>
      <c r="F23">
        <v>19</v>
      </c>
      <c r="G23" s="9" t="s">
        <v>42</v>
      </c>
      <c r="H23" t="s">
        <v>22</v>
      </c>
      <c r="I23" s="12" t="s">
        <v>37</v>
      </c>
      <c r="J23" t="s">
        <v>38</v>
      </c>
      <c r="K23" t="s">
        <v>25</v>
      </c>
      <c r="L23" t="s">
        <v>26</v>
      </c>
      <c r="M23" t="s">
        <v>66</v>
      </c>
      <c r="N23">
        <v>4</v>
      </c>
      <c r="O23">
        <v>4</v>
      </c>
      <c r="P23" s="3">
        <v>308</v>
      </c>
      <c r="Q23" s="3">
        <v>565</v>
      </c>
      <c r="R23" s="3">
        <v>1028</v>
      </c>
      <c r="S23" s="3">
        <v>1232</v>
      </c>
      <c r="T23" s="11">
        <v>2260</v>
      </c>
    </row>
    <row r="24" spans="1:20" x14ac:dyDescent="0.25">
      <c r="A24" s="1" t="s">
        <v>67</v>
      </c>
      <c r="B24" s="2">
        <v>44538</v>
      </c>
      <c r="C24">
        <v>8</v>
      </c>
      <c r="D24" t="s">
        <v>20</v>
      </c>
      <c r="E24">
        <v>2021</v>
      </c>
      <c r="F24">
        <v>30</v>
      </c>
      <c r="G24" s="9" t="s">
        <v>36</v>
      </c>
      <c r="H24" t="s">
        <v>22</v>
      </c>
      <c r="I24" s="12" t="s">
        <v>57</v>
      </c>
      <c r="J24" t="s">
        <v>58</v>
      </c>
      <c r="K24" t="s">
        <v>25</v>
      </c>
      <c r="L24" t="s">
        <v>26</v>
      </c>
      <c r="M24" t="s">
        <v>53</v>
      </c>
      <c r="N24">
        <v>4</v>
      </c>
      <c r="O24">
        <v>4</v>
      </c>
      <c r="P24" s="3">
        <v>1266</v>
      </c>
      <c r="Q24" s="3">
        <v>2320</v>
      </c>
      <c r="R24" s="3">
        <v>4216</v>
      </c>
      <c r="S24" s="3">
        <v>5064</v>
      </c>
      <c r="T24" s="11">
        <v>9280</v>
      </c>
    </row>
    <row r="25" spans="1:20" x14ac:dyDescent="0.25">
      <c r="A25" s="1" t="s">
        <v>68</v>
      </c>
      <c r="B25" s="2">
        <v>44538</v>
      </c>
      <c r="C25">
        <v>8</v>
      </c>
      <c r="D25" t="s">
        <v>20</v>
      </c>
      <c r="E25">
        <v>2021</v>
      </c>
      <c r="F25">
        <v>39</v>
      </c>
      <c r="G25" s="9" t="s">
        <v>21</v>
      </c>
      <c r="H25" t="s">
        <v>22</v>
      </c>
      <c r="I25" s="12" t="s">
        <v>23</v>
      </c>
      <c r="J25" t="s">
        <v>69</v>
      </c>
      <c r="K25" t="s">
        <v>25</v>
      </c>
      <c r="L25" t="s">
        <v>26</v>
      </c>
      <c r="M25" t="s">
        <v>60</v>
      </c>
      <c r="N25">
        <v>2</v>
      </c>
      <c r="O25">
        <v>2</v>
      </c>
      <c r="P25" s="3">
        <v>1252</v>
      </c>
      <c r="Q25" s="3">
        <v>2295</v>
      </c>
      <c r="R25" s="3">
        <v>2086</v>
      </c>
      <c r="S25" s="3">
        <v>2504</v>
      </c>
      <c r="T25" s="11">
        <v>4590</v>
      </c>
    </row>
    <row r="26" spans="1:20" x14ac:dyDescent="0.25">
      <c r="A26" s="1" t="s">
        <v>70</v>
      </c>
      <c r="B26" s="2">
        <v>44538</v>
      </c>
      <c r="C26">
        <v>8</v>
      </c>
      <c r="D26" t="s">
        <v>20</v>
      </c>
      <c r="E26">
        <v>2021</v>
      </c>
      <c r="F26">
        <v>35</v>
      </c>
      <c r="G26" s="9" t="s">
        <v>21</v>
      </c>
      <c r="H26" t="s">
        <v>22</v>
      </c>
      <c r="I26" s="12" t="s">
        <v>23</v>
      </c>
      <c r="J26" t="s">
        <v>24</v>
      </c>
      <c r="K26" t="s">
        <v>25</v>
      </c>
      <c r="L26" t="s">
        <v>26</v>
      </c>
      <c r="M26" t="s">
        <v>71</v>
      </c>
      <c r="N26">
        <v>1</v>
      </c>
      <c r="O26">
        <v>1</v>
      </c>
      <c r="P26" s="3">
        <v>295</v>
      </c>
      <c r="Q26" s="3">
        <v>540</v>
      </c>
      <c r="R26" s="3">
        <v>245</v>
      </c>
      <c r="S26" s="3">
        <v>295</v>
      </c>
      <c r="T26" s="11">
        <v>540</v>
      </c>
    </row>
    <row r="27" spans="1:20" x14ac:dyDescent="0.25">
      <c r="A27" s="1" t="s">
        <v>72</v>
      </c>
      <c r="B27" s="2">
        <v>44539</v>
      </c>
      <c r="C27">
        <v>9</v>
      </c>
      <c r="D27" t="s">
        <v>20</v>
      </c>
      <c r="E27">
        <v>2021</v>
      </c>
      <c r="F27">
        <v>33</v>
      </c>
      <c r="G27" s="9" t="s">
        <v>36</v>
      </c>
      <c r="H27" t="s">
        <v>22</v>
      </c>
      <c r="I27" s="12" t="s">
        <v>37</v>
      </c>
      <c r="J27" t="s">
        <v>73</v>
      </c>
      <c r="K27" t="s">
        <v>25</v>
      </c>
      <c r="L27" t="s">
        <v>26</v>
      </c>
      <c r="M27" t="s">
        <v>74</v>
      </c>
      <c r="N27">
        <v>2</v>
      </c>
      <c r="O27">
        <v>2</v>
      </c>
      <c r="P27" s="3">
        <v>1898</v>
      </c>
      <c r="Q27" s="3">
        <v>3375</v>
      </c>
      <c r="R27" s="3">
        <v>2954</v>
      </c>
      <c r="S27" s="3">
        <v>3796</v>
      </c>
      <c r="T27" s="11">
        <v>6750</v>
      </c>
    </row>
    <row r="28" spans="1:20" x14ac:dyDescent="0.25">
      <c r="A28" s="1" t="s">
        <v>75</v>
      </c>
      <c r="B28" s="2">
        <v>44539</v>
      </c>
      <c r="C28">
        <v>9</v>
      </c>
      <c r="D28" t="s">
        <v>20</v>
      </c>
      <c r="E28">
        <v>2021</v>
      </c>
      <c r="F28">
        <v>41</v>
      </c>
      <c r="G28" s="9" t="s">
        <v>21</v>
      </c>
      <c r="H28" t="s">
        <v>22</v>
      </c>
      <c r="I28" s="12" t="s">
        <v>49</v>
      </c>
      <c r="J28" t="s">
        <v>76</v>
      </c>
      <c r="K28" t="s">
        <v>25</v>
      </c>
      <c r="L28" t="s">
        <v>26</v>
      </c>
      <c r="M28" t="s">
        <v>32</v>
      </c>
      <c r="N28">
        <v>1</v>
      </c>
      <c r="O28">
        <v>1</v>
      </c>
      <c r="P28" s="3">
        <v>1266</v>
      </c>
      <c r="Q28" s="3">
        <v>2320</v>
      </c>
      <c r="R28" s="3">
        <v>1054</v>
      </c>
      <c r="S28" s="3">
        <v>1266</v>
      </c>
      <c r="T28" s="11">
        <v>2320</v>
      </c>
    </row>
    <row r="29" spans="1:20" x14ac:dyDescent="0.25">
      <c r="A29" s="1" t="s">
        <v>77</v>
      </c>
      <c r="B29" s="2">
        <v>44540</v>
      </c>
      <c r="C29">
        <v>10</v>
      </c>
      <c r="D29" t="s">
        <v>20</v>
      </c>
      <c r="E29">
        <v>2021</v>
      </c>
      <c r="F29">
        <v>34</v>
      </c>
      <c r="G29" s="9" t="s">
        <v>36</v>
      </c>
      <c r="H29" t="s">
        <v>22</v>
      </c>
      <c r="I29" s="12" t="s">
        <v>23</v>
      </c>
      <c r="J29" t="s">
        <v>24</v>
      </c>
      <c r="K29" t="s">
        <v>25</v>
      </c>
      <c r="L29" t="s">
        <v>26</v>
      </c>
      <c r="M29" t="s">
        <v>60</v>
      </c>
      <c r="N29">
        <v>2</v>
      </c>
      <c r="O29">
        <v>2</v>
      </c>
      <c r="P29" s="3">
        <v>1252</v>
      </c>
      <c r="Q29" s="3">
        <v>2295</v>
      </c>
      <c r="R29" s="3">
        <v>2086</v>
      </c>
      <c r="S29" s="3">
        <v>2504</v>
      </c>
      <c r="T29" s="11">
        <v>4590</v>
      </c>
    </row>
    <row r="30" spans="1:20" x14ac:dyDescent="0.25">
      <c r="A30" s="1" t="s">
        <v>78</v>
      </c>
      <c r="B30" s="2">
        <v>44540</v>
      </c>
      <c r="C30">
        <v>10</v>
      </c>
      <c r="D30" t="s">
        <v>20</v>
      </c>
      <c r="E30">
        <v>2021</v>
      </c>
      <c r="F30">
        <v>40</v>
      </c>
      <c r="G30" s="9" t="s">
        <v>21</v>
      </c>
      <c r="H30" t="s">
        <v>29</v>
      </c>
      <c r="I30" s="12" t="s">
        <v>37</v>
      </c>
      <c r="J30" t="s">
        <v>38</v>
      </c>
      <c r="K30" t="s">
        <v>25</v>
      </c>
      <c r="L30" t="s">
        <v>26</v>
      </c>
      <c r="M30" t="s">
        <v>60</v>
      </c>
      <c r="N30">
        <v>2</v>
      </c>
      <c r="O30">
        <v>2</v>
      </c>
      <c r="P30" s="3">
        <v>1252</v>
      </c>
      <c r="Q30" s="3">
        <v>2295</v>
      </c>
      <c r="R30" s="3">
        <v>2086</v>
      </c>
      <c r="S30" s="3">
        <v>2504</v>
      </c>
      <c r="T30" s="11">
        <v>4590</v>
      </c>
    </row>
    <row r="31" spans="1:20" x14ac:dyDescent="0.25">
      <c r="A31" s="1" t="s">
        <v>79</v>
      </c>
      <c r="B31" s="2">
        <v>44540</v>
      </c>
      <c r="C31">
        <v>10</v>
      </c>
      <c r="D31" t="s">
        <v>20</v>
      </c>
      <c r="E31">
        <v>2021</v>
      </c>
      <c r="F31">
        <v>26</v>
      </c>
      <c r="G31" s="9" t="s">
        <v>36</v>
      </c>
      <c r="H31" t="s">
        <v>29</v>
      </c>
      <c r="I31" s="12" t="s">
        <v>30</v>
      </c>
      <c r="J31" t="s">
        <v>31</v>
      </c>
      <c r="K31" t="s">
        <v>25</v>
      </c>
      <c r="L31" t="s">
        <v>26</v>
      </c>
      <c r="M31" t="s">
        <v>43</v>
      </c>
      <c r="N31">
        <v>1</v>
      </c>
      <c r="O31">
        <v>1</v>
      </c>
      <c r="P31" s="3">
        <v>1252</v>
      </c>
      <c r="Q31" s="3">
        <v>2295</v>
      </c>
      <c r="R31" s="3">
        <v>1043</v>
      </c>
      <c r="S31" s="3">
        <v>1252</v>
      </c>
      <c r="T31" s="11">
        <v>2295</v>
      </c>
    </row>
    <row r="32" spans="1:20" x14ac:dyDescent="0.25">
      <c r="A32" s="1" t="s">
        <v>80</v>
      </c>
      <c r="B32" s="2">
        <v>44540</v>
      </c>
      <c r="C32">
        <v>10</v>
      </c>
      <c r="D32" t="s">
        <v>20</v>
      </c>
      <c r="E32">
        <v>2021</v>
      </c>
      <c r="F32">
        <v>34</v>
      </c>
      <c r="G32" s="9" t="s">
        <v>36</v>
      </c>
      <c r="H32" t="s">
        <v>29</v>
      </c>
      <c r="I32" s="12" t="s">
        <v>23</v>
      </c>
      <c r="J32" t="s">
        <v>24</v>
      </c>
      <c r="K32" t="s">
        <v>25</v>
      </c>
      <c r="L32" t="s">
        <v>26</v>
      </c>
      <c r="M32" t="s">
        <v>81</v>
      </c>
      <c r="N32">
        <v>1</v>
      </c>
      <c r="O32">
        <v>1</v>
      </c>
      <c r="P32" s="3">
        <v>295</v>
      </c>
      <c r="Q32" s="3">
        <v>540</v>
      </c>
      <c r="R32" s="3">
        <v>245</v>
      </c>
      <c r="S32" s="3">
        <v>295</v>
      </c>
      <c r="T32" s="11">
        <v>540</v>
      </c>
    </row>
    <row r="33" spans="1:20" x14ac:dyDescent="0.25">
      <c r="A33" s="1" t="s">
        <v>82</v>
      </c>
      <c r="B33" s="2">
        <v>44540</v>
      </c>
      <c r="C33">
        <v>10</v>
      </c>
      <c r="D33" t="s">
        <v>20</v>
      </c>
      <c r="E33">
        <v>2021</v>
      </c>
      <c r="F33">
        <v>34</v>
      </c>
      <c r="G33" s="9" t="s">
        <v>36</v>
      </c>
      <c r="H33" t="s">
        <v>22</v>
      </c>
      <c r="I33" s="12" t="s">
        <v>23</v>
      </c>
      <c r="J33" t="s">
        <v>45</v>
      </c>
      <c r="K33" t="s">
        <v>25</v>
      </c>
      <c r="L33" t="s">
        <v>26</v>
      </c>
      <c r="M33" t="s">
        <v>83</v>
      </c>
      <c r="N33">
        <v>1</v>
      </c>
      <c r="O33">
        <v>1</v>
      </c>
      <c r="P33" s="3">
        <v>1912</v>
      </c>
      <c r="Q33" s="3">
        <v>3400</v>
      </c>
      <c r="R33" s="3">
        <v>1488</v>
      </c>
      <c r="S33" s="3">
        <v>1912</v>
      </c>
      <c r="T33" s="11">
        <v>3400</v>
      </c>
    </row>
    <row r="34" spans="1:20" x14ac:dyDescent="0.25">
      <c r="A34" s="1" t="s">
        <v>84</v>
      </c>
      <c r="B34" s="2">
        <v>44540</v>
      </c>
      <c r="C34">
        <v>10</v>
      </c>
      <c r="D34" t="s">
        <v>20</v>
      </c>
      <c r="E34">
        <v>2021</v>
      </c>
      <c r="F34">
        <v>38</v>
      </c>
      <c r="G34" s="9" t="s">
        <v>21</v>
      </c>
      <c r="H34" t="s">
        <v>29</v>
      </c>
      <c r="I34" s="12" t="s">
        <v>37</v>
      </c>
      <c r="J34" t="s">
        <v>38</v>
      </c>
      <c r="K34" t="s">
        <v>25</v>
      </c>
      <c r="L34" t="s">
        <v>26</v>
      </c>
      <c r="M34" t="s">
        <v>43</v>
      </c>
      <c r="N34">
        <v>1</v>
      </c>
      <c r="O34">
        <v>1</v>
      </c>
      <c r="P34" s="3">
        <v>1252</v>
      </c>
      <c r="Q34" s="3">
        <v>2295</v>
      </c>
      <c r="R34" s="3">
        <v>1043</v>
      </c>
      <c r="S34" s="3">
        <v>1252</v>
      </c>
      <c r="T34" s="11">
        <v>2295</v>
      </c>
    </row>
    <row r="35" spans="1:20" x14ac:dyDescent="0.25">
      <c r="A35" s="1" t="s">
        <v>85</v>
      </c>
      <c r="B35" s="2">
        <v>44541</v>
      </c>
      <c r="C35">
        <v>11</v>
      </c>
      <c r="D35" t="s">
        <v>20</v>
      </c>
      <c r="E35">
        <v>2021</v>
      </c>
      <c r="F35">
        <v>24</v>
      </c>
      <c r="G35" s="9" t="s">
        <v>42</v>
      </c>
      <c r="H35" t="s">
        <v>22</v>
      </c>
      <c r="I35" s="12" t="s">
        <v>86</v>
      </c>
      <c r="J35" t="s">
        <v>87</v>
      </c>
      <c r="K35" t="s">
        <v>25</v>
      </c>
      <c r="L35" t="s">
        <v>26</v>
      </c>
      <c r="M35" t="s">
        <v>43</v>
      </c>
      <c r="N35">
        <v>3</v>
      </c>
      <c r="O35">
        <v>3</v>
      </c>
      <c r="P35" s="3">
        <v>1252</v>
      </c>
      <c r="Q35" s="3">
        <v>2295</v>
      </c>
      <c r="R35" s="3">
        <v>3129</v>
      </c>
      <c r="S35" s="3">
        <v>3756</v>
      </c>
      <c r="T35" s="11">
        <v>6885</v>
      </c>
    </row>
    <row r="36" spans="1:20" x14ac:dyDescent="0.25">
      <c r="A36" s="1" t="s">
        <v>88</v>
      </c>
      <c r="B36" s="2">
        <v>44541</v>
      </c>
      <c r="C36">
        <v>11</v>
      </c>
      <c r="D36" t="s">
        <v>20</v>
      </c>
      <c r="E36">
        <v>2021</v>
      </c>
      <c r="F36">
        <v>41</v>
      </c>
      <c r="G36" s="9" t="s">
        <v>21</v>
      </c>
      <c r="H36" t="s">
        <v>22</v>
      </c>
      <c r="I36" s="12" t="s">
        <v>37</v>
      </c>
      <c r="J36" t="s">
        <v>38</v>
      </c>
      <c r="K36" t="s">
        <v>25</v>
      </c>
      <c r="L36" t="s">
        <v>26</v>
      </c>
      <c r="M36" t="s">
        <v>63</v>
      </c>
      <c r="N36">
        <v>2</v>
      </c>
      <c r="O36">
        <v>2</v>
      </c>
      <c r="P36" s="3">
        <v>420</v>
      </c>
      <c r="Q36" s="3">
        <v>769</v>
      </c>
      <c r="R36" s="3">
        <v>698</v>
      </c>
      <c r="S36" s="3">
        <v>840</v>
      </c>
      <c r="T36" s="11">
        <v>1538</v>
      </c>
    </row>
    <row r="37" spans="1:20" x14ac:dyDescent="0.25">
      <c r="A37" s="1" t="s">
        <v>89</v>
      </c>
      <c r="B37" s="2">
        <v>44541</v>
      </c>
      <c r="C37">
        <v>11</v>
      </c>
      <c r="D37" t="s">
        <v>20</v>
      </c>
      <c r="E37">
        <v>2021</v>
      </c>
      <c r="F37">
        <v>27</v>
      </c>
      <c r="G37" s="9" t="s">
        <v>36</v>
      </c>
      <c r="H37" t="s">
        <v>29</v>
      </c>
      <c r="I37" s="12" t="s">
        <v>57</v>
      </c>
      <c r="J37" t="s">
        <v>58</v>
      </c>
      <c r="K37" t="s">
        <v>25</v>
      </c>
      <c r="L37" t="s">
        <v>26</v>
      </c>
      <c r="M37" t="s">
        <v>27</v>
      </c>
      <c r="N37">
        <v>1</v>
      </c>
      <c r="O37">
        <v>1</v>
      </c>
      <c r="P37" s="3">
        <v>1252</v>
      </c>
      <c r="Q37" s="3">
        <v>2295</v>
      </c>
      <c r="R37" s="3">
        <v>1043</v>
      </c>
      <c r="S37" s="3">
        <v>1252</v>
      </c>
      <c r="T37" s="11">
        <v>2295</v>
      </c>
    </row>
    <row r="38" spans="1:20" x14ac:dyDescent="0.25">
      <c r="A38" s="1" t="s">
        <v>90</v>
      </c>
      <c r="B38" s="2">
        <v>44541</v>
      </c>
      <c r="C38">
        <v>11</v>
      </c>
      <c r="D38" t="s">
        <v>20</v>
      </c>
      <c r="E38">
        <v>2021</v>
      </c>
      <c r="F38">
        <v>37</v>
      </c>
      <c r="G38" s="9" t="s">
        <v>21</v>
      </c>
      <c r="H38" t="s">
        <v>29</v>
      </c>
      <c r="I38" s="12" t="s">
        <v>23</v>
      </c>
      <c r="J38" t="s">
        <v>24</v>
      </c>
      <c r="K38" t="s">
        <v>25</v>
      </c>
      <c r="L38" t="s">
        <v>26</v>
      </c>
      <c r="M38" t="s">
        <v>34</v>
      </c>
      <c r="N38">
        <v>1</v>
      </c>
      <c r="O38">
        <v>1</v>
      </c>
      <c r="P38" s="3">
        <v>420</v>
      </c>
      <c r="Q38" s="3">
        <v>769</v>
      </c>
      <c r="R38" s="3">
        <v>349</v>
      </c>
      <c r="S38" s="3">
        <v>420</v>
      </c>
      <c r="T38" s="11">
        <v>769</v>
      </c>
    </row>
    <row r="39" spans="1:20" x14ac:dyDescent="0.25">
      <c r="A39" s="1" t="s">
        <v>91</v>
      </c>
      <c r="B39" s="2">
        <v>44541</v>
      </c>
      <c r="C39">
        <v>11</v>
      </c>
      <c r="D39" t="s">
        <v>20</v>
      </c>
      <c r="E39">
        <v>2021</v>
      </c>
      <c r="F39">
        <v>38</v>
      </c>
      <c r="G39" s="9" t="s">
        <v>21</v>
      </c>
      <c r="H39" t="s">
        <v>22</v>
      </c>
      <c r="I39" s="12" t="s">
        <v>23</v>
      </c>
      <c r="J39" t="s">
        <v>24</v>
      </c>
      <c r="K39" t="s">
        <v>25</v>
      </c>
      <c r="L39" t="s">
        <v>26</v>
      </c>
      <c r="M39" t="s">
        <v>53</v>
      </c>
      <c r="N39">
        <v>1</v>
      </c>
      <c r="O39">
        <v>1</v>
      </c>
      <c r="P39" s="3">
        <v>1266</v>
      </c>
      <c r="Q39" s="3">
        <v>2320</v>
      </c>
      <c r="R39" s="3">
        <v>1054</v>
      </c>
      <c r="S39" s="3">
        <v>1266</v>
      </c>
      <c r="T39" s="11">
        <v>2320</v>
      </c>
    </row>
    <row r="40" spans="1:20" x14ac:dyDescent="0.25">
      <c r="A40" s="1" t="s">
        <v>92</v>
      </c>
      <c r="B40" s="2">
        <v>44542</v>
      </c>
      <c r="C40">
        <v>12</v>
      </c>
      <c r="D40" t="s">
        <v>20</v>
      </c>
      <c r="E40">
        <v>2021</v>
      </c>
      <c r="F40">
        <v>36</v>
      </c>
      <c r="G40" s="9" t="s">
        <v>21</v>
      </c>
      <c r="H40" t="s">
        <v>22</v>
      </c>
      <c r="I40" s="12" t="s">
        <v>37</v>
      </c>
      <c r="J40" t="s">
        <v>38</v>
      </c>
      <c r="K40" t="s">
        <v>25</v>
      </c>
      <c r="L40" t="s">
        <v>26</v>
      </c>
      <c r="M40" t="s">
        <v>32</v>
      </c>
      <c r="N40">
        <v>4</v>
      </c>
      <c r="O40">
        <v>4</v>
      </c>
      <c r="P40" s="3">
        <v>1266</v>
      </c>
      <c r="Q40" s="3">
        <v>2320</v>
      </c>
      <c r="R40" s="3">
        <v>4216</v>
      </c>
      <c r="S40" s="3">
        <v>5064</v>
      </c>
      <c r="T40" s="11">
        <v>9280</v>
      </c>
    </row>
    <row r="41" spans="1:20" x14ac:dyDescent="0.25">
      <c r="A41" s="1" t="s">
        <v>93</v>
      </c>
      <c r="B41" s="2">
        <v>44542</v>
      </c>
      <c r="C41">
        <v>12</v>
      </c>
      <c r="D41" t="s">
        <v>20</v>
      </c>
      <c r="E41">
        <v>2021</v>
      </c>
      <c r="F41">
        <v>37</v>
      </c>
      <c r="G41" s="9" t="s">
        <v>21</v>
      </c>
      <c r="H41" t="s">
        <v>29</v>
      </c>
      <c r="I41" s="12" t="s">
        <v>23</v>
      </c>
      <c r="J41" t="s">
        <v>24</v>
      </c>
      <c r="K41" t="s">
        <v>25</v>
      </c>
      <c r="L41" t="s">
        <v>26</v>
      </c>
      <c r="M41" t="s">
        <v>34</v>
      </c>
      <c r="N41">
        <v>4</v>
      </c>
      <c r="O41">
        <v>4</v>
      </c>
      <c r="P41" s="3">
        <v>420</v>
      </c>
      <c r="Q41" s="3">
        <v>769</v>
      </c>
      <c r="R41" s="3">
        <v>1396</v>
      </c>
      <c r="S41" s="3">
        <v>1680</v>
      </c>
      <c r="T41" s="11">
        <v>3076</v>
      </c>
    </row>
    <row r="42" spans="1:20" x14ac:dyDescent="0.25">
      <c r="A42" s="1" t="s">
        <v>94</v>
      </c>
      <c r="B42" s="2">
        <v>44542</v>
      </c>
      <c r="C42">
        <v>12</v>
      </c>
      <c r="D42" t="s">
        <v>20</v>
      </c>
      <c r="E42">
        <v>2021</v>
      </c>
      <c r="F42">
        <v>34</v>
      </c>
      <c r="G42" s="9" t="s">
        <v>36</v>
      </c>
      <c r="H42" t="s">
        <v>29</v>
      </c>
      <c r="I42" s="12" t="s">
        <v>37</v>
      </c>
      <c r="J42" t="s">
        <v>38</v>
      </c>
      <c r="K42" t="s">
        <v>25</v>
      </c>
      <c r="L42" t="s">
        <v>26</v>
      </c>
      <c r="M42" t="s">
        <v>43</v>
      </c>
      <c r="N42">
        <v>2</v>
      </c>
      <c r="O42">
        <v>2</v>
      </c>
      <c r="P42" s="3">
        <v>1252</v>
      </c>
      <c r="Q42" s="3">
        <v>2295</v>
      </c>
      <c r="R42" s="3">
        <v>2086</v>
      </c>
      <c r="S42" s="3">
        <v>2504</v>
      </c>
      <c r="T42" s="11">
        <v>4590</v>
      </c>
    </row>
    <row r="43" spans="1:20" x14ac:dyDescent="0.25">
      <c r="A43" s="1" t="s">
        <v>95</v>
      </c>
      <c r="B43" s="2">
        <v>44542</v>
      </c>
      <c r="C43">
        <v>12</v>
      </c>
      <c r="D43" t="s">
        <v>20</v>
      </c>
      <c r="E43">
        <v>2021</v>
      </c>
      <c r="F43">
        <v>35</v>
      </c>
      <c r="G43" s="9" t="s">
        <v>21</v>
      </c>
      <c r="H43" t="s">
        <v>22</v>
      </c>
      <c r="I43" s="12" t="s">
        <v>37</v>
      </c>
      <c r="J43" t="s">
        <v>73</v>
      </c>
      <c r="K43" t="s">
        <v>25</v>
      </c>
      <c r="L43" t="s">
        <v>26</v>
      </c>
      <c r="M43" t="s">
        <v>32</v>
      </c>
      <c r="N43">
        <v>1</v>
      </c>
      <c r="O43">
        <v>1</v>
      </c>
      <c r="P43" s="3">
        <v>1266</v>
      </c>
      <c r="Q43" s="3">
        <v>2320</v>
      </c>
      <c r="R43" s="3">
        <v>1054</v>
      </c>
      <c r="S43" s="3">
        <v>1266</v>
      </c>
      <c r="T43" s="11">
        <v>2320</v>
      </c>
    </row>
    <row r="44" spans="1:20" x14ac:dyDescent="0.25">
      <c r="A44" s="1" t="s">
        <v>96</v>
      </c>
      <c r="B44" s="2">
        <v>44542</v>
      </c>
      <c r="C44">
        <v>12</v>
      </c>
      <c r="D44" t="s">
        <v>20</v>
      </c>
      <c r="E44">
        <v>2021</v>
      </c>
      <c r="F44">
        <v>38</v>
      </c>
      <c r="G44" s="9" t="s">
        <v>21</v>
      </c>
      <c r="H44" t="s">
        <v>22</v>
      </c>
      <c r="I44" s="12" t="s">
        <v>23</v>
      </c>
      <c r="J44" t="s">
        <v>45</v>
      </c>
      <c r="K44" t="s">
        <v>25</v>
      </c>
      <c r="L44" t="s">
        <v>26</v>
      </c>
      <c r="M44" t="s">
        <v>32</v>
      </c>
      <c r="N44">
        <v>1</v>
      </c>
      <c r="O44">
        <v>1</v>
      </c>
      <c r="P44" s="3">
        <v>1266</v>
      </c>
      <c r="Q44" s="3">
        <v>2320</v>
      </c>
      <c r="R44" s="3">
        <v>1054</v>
      </c>
      <c r="S44" s="3">
        <v>1266</v>
      </c>
      <c r="T44" s="11">
        <v>2320</v>
      </c>
    </row>
    <row r="45" spans="1:20" x14ac:dyDescent="0.25">
      <c r="A45" s="1" t="s">
        <v>97</v>
      </c>
      <c r="B45" s="2">
        <v>44543</v>
      </c>
      <c r="C45">
        <v>13</v>
      </c>
      <c r="D45" t="s">
        <v>20</v>
      </c>
      <c r="E45">
        <v>2021</v>
      </c>
      <c r="F45">
        <v>32</v>
      </c>
      <c r="G45" s="9" t="s">
        <v>36</v>
      </c>
      <c r="H45" t="s">
        <v>22</v>
      </c>
      <c r="I45" s="12" t="s">
        <v>37</v>
      </c>
      <c r="J45" t="s">
        <v>52</v>
      </c>
      <c r="K45" t="s">
        <v>25</v>
      </c>
      <c r="L45" t="s">
        <v>26</v>
      </c>
      <c r="M45" t="s">
        <v>32</v>
      </c>
      <c r="N45">
        <v>3</v>
      </c>
      <c r="O45">
        <v>3</v>
      </c>
      <c r="P45" s="3">
        <v>1266</v>
      </c>
      <c r="Q45" s="3">
        <v>2320</v>
      </c>
      <c r="R45" s="3">
        <v>3162</v>
      </c>
      <c r="S45" s="3">
        <v>3798</v>
      </c>
      <c r="T45" s="11">
        <v>6960</v>
      </c>
    </row>
    <row r="46" spans="1:20" x14ac:dyDescent="0.25">
      <c r="A46" s="1" t="s">
        <v>98</v>
      </c>
      <c r="B46" s="2">
        <v>44543</v>
      </c>
      <c r="C46">
        <v>13</v>
      </c>
      <c r="D46" t="s">
        <v>20</v>
      </c>
      <c r="E46">
        <v>2021</v>
      </c>
      <c r="F46">
        <v>40</v>
      </c>
      <c r="G46" s="9" t="s">
        <v>21</v>
      </c>
      <c r="H46" t="s">
        <v>22</v>
      </c>
      <c r="I46" s="12" t="s">
        <v>23</v>
      </c>
      <c r="J46" t="s">
        <v>24</v>
      </c>
      <c r="K46" t="s">
        <v>25</v>
      </c>
      <c r="L46" t="s">
        <v>26</v>
      </c>
      <c r="M46" t="s">
        <v>99</v>
      </c>
      <c r="N46">
        <v>1</v>
      </c>
      <c r="O46">
        <v>1</v>
      </c>
      <c r="P46" s="3">
        <v>308</v>
      </c>
      <c r="Q46" s="3">
        <v>565</v>
      </c>
      <c r="R46" s="3">
        <v>257</v>
      </c>
      <c r="S46" s="3">
        <v>308</v>
      </c>
      <c r="T46" s="11">
        <v>565</v>
      </c>
    </row>
    <row r="47" spans="1:20" x14ac:dyDescent="0.25">
      <c r="A47" s="1" t="s">
        <v>100</v>
      </c>
      <c r="B47" s="2">
        <v>44543</v>
      </c>
      <c r="C47">
        <v>13</v>
      </c>
      <c r="D47" t="s">
        <v>20</v>
      </c>
      <c r="E47">
        <v>2021</v>
      </c>
      <c r="F47">
        <v>44</v>
      </c>
      <c r="G47" s="9" t="s">
        <v>21</v>
      </c>
      <c r="H47" t="s">
        <v>22</v>
      </c>
      <c r="I47" s="12" t="s">
        <v>30</v>
      </c>
      <c r="J47" t="s">
        <v>31</v>
      </c>
      <c r="K47" t="s">
        <v>25</v>
      </c>
      <c r="L47" t="s">
        <v>26</v>
      </c>
      <c r="M47" t="s">
        <v>43</v>
      </c>
      <c r="N47">
        <v>1</v>
      </c>
      <c r="O47">
        <v>1</v>
      </c>
      <c r="P47" s="3">
        <v>1252</v>
      </c>
      <c r="Q47" s="3">
        <v>2295</v>
      </c>
      <c r="R47" s="3">
        <v>1043</v>
      </c>
      <c r="S47" s="3">
        <v>1252</v>
      </c>
      <c r="T47" s="11">
        <v>2295</v>
      </c>
    </row>
    <row r="48" spans="1:20" x14ac:dyDescent="0.25">
      <c r="A48" s="1" t="s">
        <v>101</v>
      </c>
      <c r="B48" s="2">
        <v>44543</v>
      </c>
      <c r="C48">
        <v>13</v>
      </c>
      <c r="D48" t="s">
        <v>20</v>
      </c>
      <c r="E48">
        <v>2021</v>
      </c>
      <c r="F48">
        <v>49</v>
      </c>
      <c r="G48" s="9" t="s">
        <v>21</v>
      </c>
      <c r="H48" t="s">
        <v>29</v>
      </c>
      <c r="I48" s="12" t="s">
        <v>30</v>
      </c>
      <c r="J48" t="s">
        <v>31</v>
      </c>
      <c r="K48" t="s">
        <v>25</v>
      </c>
      <c r="L48" t="s">
        <v>26</v>
      </c>
      <c r="M48" t="s">
        <v>43</v>
      </c>
      <c r="N48">
        <v>1</v>
      </c>
      <c r="O48">
        <v>1</v>
      </c>
      <c r="P48" s="3">
        <v>1252</v>
      </c>
      <c r="Q48" s="3">
        <v>2295</v>
      </c>
      <c r="R48" s="3">
        <v>1043</v>
      </c>
      <c r="S48" s="3">
        <v>1252</v>
      </c>
      <c r="T48" s="11">
        <v>2295</v>
      </c>
    </row>
    <row r="49" spans="1:20" x14ac:dyDescent="0.25">
      <c r="A49" s="1" t="s">
        <v>102</v>
      </c>
      <c r="B49" s="2">
        <v>44544</v>
      </c>
      <c r="C49">
        <v>14</v>
      </c>
      <c r="D49" t="s">
        <v>20</v>
      </c>
      <c r="E49">
        <v>2021</v>
      </c>
      <c r="F49">
        <v>30</v>
      </c>
      <c r="G49" s="9" t="s">
        <v>36</v>
      </c>
      <c r="H49" t="s">
        <v>22</v>
      </c>
      <c r="I49" s="12" t="s">
        <v>23</v>
      </c>
      <c r="J49" t="s">
        <v>45</v>
      </c>
      <c r="K49" t="s">
        <v>25</v>
      </c>
      <c r="L49" t="s">
        <v>26</v>
      </c>
      <c r="M49" t="s">
        <v>53</v>
      </c>
      <c r="N49">
        <v>2</v>
      </c>
      <c r="O49">
        <v>2</v>
      </c>
      <c r="P49" s="3">
        <v>1266</v>
      </c>
      <c r="Q49" s="3">
        <v>2320</v>
      </c>
      <c r="R49" s="3">
        <v>2108</v>
      </c>
      <c r="S49" s="3">
        <v>2532</v>
      </c>
      <c r="T49" s="11">
        <v>4640</v>
      </c>
    </row>
    <row r="50" spans="1:20" x14ac:dyDescent="0.25">
      <c r="A50" s="1" t="s">
        <v>103</v>
      </c>
      <c r="B50" s="2">
        <v>44544</v>
      </c>
      <c r="C50">
        <v>14</v>
      </c>
      <c r="D50" t="s">
        <v>20</v>
      </c>
      <c r="E50">
        <v>2021</v>
      </c>
      <c r="F50">
        <v>32</v>
      </c>
      <c r="G50" s="9" t="s">
        <v>36</v>
      </c>
      <c r="H50" t="s">
        <v>29</v>
      </c>
      <c r="I50" s="12" t="s">
        <v>23</v>
      </c>
      <c r="J50" t="s">
        <v>24</v>
      </c>
      <c r="K50" t="s">
        <v>25</v>
      </c>
      <c r="L50" t="s">
        <v>26</v>
      </c>
      <c r="M50" t="s">
        <v>27</v>
      </c>
      <c r="N50">
        <v>1</v>
      </c>
      <c r="O50">
        <v>1</v>
      </c>
      <c r="P50" s="3">
        <v>1252</v>
      </c>
      <c r="Q50" s="3">
        <v>2295</v>
      </c>
      <c r="R50" s="3">
        <v>1043</v>
      </c>
      <c r="S50" s="3">
        <v>1252</v>
      </c>
      <c r="T50" s="11">
        <v>2295</v>
      </c>
    </row>
    <row r="51" spans="1:20" x14ac:dyDescent="0.25">
      <c r="A51" s="1" t="s">
        <v>104</v>
      </c>
      <c r="B51" s="2">
        <v>44544</v>
      </c>
      <c r="C51">
        <v>14</v>
      </c>
      <c r="D51" t="s">
        <v>20</v>
      </c>
      <c r="E51">
        <v>2021</v>
      </c>
      <c r="F51">
        <v>32</v>
      </c>
      <c r="G51" s="9" t="s">
        <v>36</v>
      </c>
      <c r="H51" t="s">
        <v>22</v>
      </c>
      <c r="I51" s="12" t="s">
        <v>37</v>
      </c>
      <c r="J51" t="s">
        <v>73</v>
      </c>
      <c r="K51" t="s">
        <v>25</v>
      </c>
      <c r="L51" t="s">
        <v>26</v>
      </c>
      <c r="M51" t="s">
        <v>34</v>
      </c>
      <c r="N51">
        <v>1</v>
      </c>
      <c r="O51">
        <v>1</v>
      </c>
      <c r="P51" s="3">
        <v>420</v>
      </c>
      <c r="Q51" s="3">
        <v>769</v>
      </c>
      <c r="R51" s="3">
        <v>349</v>
      </c>
      <c r="S51" s="3">
        <v>420</v>
      </c>
      <c r="T51" s="11">
        <v>769</v>
      </c>
    </row>
    <row r="52" spans="1:20" x14ac:dyDescent="0.25">
      <c r="A52" s="1" t="s">
        <v>105</v>
      </c>
      <c r="B52" s="2">
        <v>44545</v>
      </c>
      <c r="C52">
        <v>15</v>
      </c>
      <c r="D52" t="s">
        <v>20</v>
      </c>
      <c r="E52">
        <v>2021</v>
      </c>
      <c r="F52">
        <v>29</v>
      </c>
      <c r="G52" s="9" t="s">
        <v>36</v>
      </c>
      <c r="H52" t="s">
        <v>22</v>
      </c>
      <c r="I52" s="12" t="s">
        <v>23</v>
      </c>
      <c r="J52" t="s">
        <v>24</v>
      </c>
      <c r="K52" t="s">
        <v>25</v>
      </c>
      <c r="L52" t="s">
        <v>26</v>
      </c>
      <c r="M52" t="s">
        <v>32</v>
      </c>
      <c r="N52">
        <v>1</v>
      </c>
      <c r="O52">
        <v>1</v>
      </c>
      <c r="P52" s="3">
        <v>1266</v>
      </c>
      <c r="Q52" s="3">
        <v>2320</v>
      </c>
      <c r="R52" s="3">
        <v>1054</v>
      </c>
      <c r="S52" s="3">
        <v>1266</v>
      </c>
      <c r="T52" s="11">
        <v>2320</v>
      </c>
    </row>
    <row r="53" spans="1:20" x14ac:dyDescent="0.25">
      <c r="A53" s="1" t="s">
        <v>106</v>
      </c>
      <c r="B53" s="2">
        <v>44546</v>
      </c>
      <c r="C53">
        <v>16</v>
      </c>
      <c r="D53" t="s">
        <v>20</v>
      </c>
      <c r="E53">
        <v>2021</v>
      </c>
      <c r="F53">
        <v>33</v>
      </c>
      <c r="G53" s="9" t="s">
        <v>36</v>
      </c>
      <c r="H53" t="s">
        <v>22</v>
      </c>
      <c r="I53" s="12" t="s">
        <v>37</v>
      </c>
      <c r="J53" t="s">
        <v>38</v>
      </c>
      <c r="K53" t="s">
        <v>25</v>
      </c>
      <c r="L53" t="s">
        <v>26</v>
      </c>
      <c r="M53" t="s">
        <v>43</v>
      </c>
      <c r="N53">
        <v>2</v>
      </c>
      <c r="O53">
        <v>2</v>
      </c>
      <c r="P53" s="3">
        <v>1252</v>
      </c>
      <c r="Q53" s="3">
        <v>2295</v>
      </c>
      <c r="R53" s="3">
        <v>2086</v>
      </c>
      <c r="S53" s="3">
        <v>2504</v>
      </c>
      <c r="T53" s="11">
        <v>4590</v>
      </c>
    </row>
    <row r="54" spans="1:20" x14ac:dyDescent="0.25">
      <c r="A54" s="1" t="s">
        <v>107</v>
      </c>
      <c r="B54" s="2">
        <v>44546</v>
      </c>
      <c r="C54">
        <v>16</v>
      </c>
      <c r="D54" t="s">
        <v>20</v>
      </c>
      <c r="E54">
        <v>2021</v>
      </c>
      <c r="F54">
        <v>38</v>
      </c>
      <c r="G54" s="9" t="s">
        <v>21</v>
      </c>
      <c r="H54" t="s">
        <v>29</v>
      </c>
      <c r="I54" s="12" t="s">
        <v>37</v>
      </c>
      <c r="J54" t="s">
        <v>38</v>
      </c>
      <c r="K54" t="s">
        <v>25</v>
      </c>
      <c r="L54" t="s">
        <v>26</v>
      </c>
      <c r="M54" t="s">
        <v>43</v>
      </c>
      <c r="N54">
        <v>2</v>
      </c>
      <c r="O54">
        <v>2</v>
      </c>
      <c r="P54" s="3">
        <v>1252</v>
      </c>
      <c r="Q54" s="3">
        <v>2295</v>
      </c>
      <c r="R54" s="3">
        <v>2086</v>
      </c>
      <c r="S54" s="3">
        <v>2504</v>
      </c>
      <c r="T54" s="11">
        <v>4590</v>
      </c>
    </row>
    <row r="55" spans="1:20" x14ac:dyDescent="0.25">
      <c r="A55" s="1" t="s">
        <v>108</v>
      </c>
      <c r="B55" s="2">
        <v>44546</v>
      </c>
      <c r="C55">
        <v>16</v>
      </c>
      <c r="D55" t="s">
        <v>20</v>
      </c>
      <c r="E55">
        <v>2021</v>
      </c>
      <c r="F55">
        <v>27</v>
      </c>
      <c r="G55" s="9" t="s">
        <v>36</v>
      </c>
      <c r="H55" t="s">
        <v>22</v>
      </c>
      <c r="I55" s="12" t="s">
        <v>86</v>
      </c>
      <c r="J55" t="s">
        <v>109</v>
      </c>
      <c r="K55" t="s">
        <v>25</v>
      </c>
      <c r="L55" t="s">
        <v>26</v>
      </c>
      <c r="M55" t="s">
        <v>110</v>
      </c>
      <c r="N55">
        <v>1</v>
      </c>
      <c r="O55">
        <v>1</v>
      </c>
      <c r="P55" s="3">
        <v>1266</v>
      </c>
      <c r="Q55" s="3">
        <v>2320</v>
      </c>
      <c r="R55" s="3">
        <v>1054</v>
      </c>
      <c r="S55" s="3">
        <v>1266</v>
      </c>
      <c r="T55" s="11">
        <v>2320</v>
      </c>
    </row>
    <row r="56" spans="1:20" x14ac:dyDescent="0.25">
      <c r="A56" s="1" t="s">
        <v>111</v>
      </c>
      <c r="B56" s="2">
        <v>44547</v>
      </c>
      <c r="C56">
        <v>17</v>
      </c>
      <c r="D56" t="s">
        <v>20</v>
      </c>
      <c r="E56">
        <v>2021</v>
      </c>
      <c r="F56">
        <v>37</v>
      </c>
      <c r="G56" s="9" t="s">
        <v>21</v>
      </c>
      <c r="H56" t="s">
        <v>22</v>
      </c>
      <c r="I56" s="12" t="s">
        <v>23</v>
      </c>
      <c r="J56" t="s">
        <v>45</v>
      </c>
      <c r="K56" t="s">
        <v>25</v>
      </c>
      <c r="L56" t="s">
        <v>26</v>
      </c>
      <c r="M56" t="s">
        <v>53</v>
      </c>
      <c r="N56">
        <v>2</v>
      </c>
      <c r="O56">
        <v>2</v>
      </c>
      <c r="P56" s="3">
        <v>1266</v>
      </c>
      <c r="Q56" s="3">
        <v>2320</v>
      </c>
      <c r="R56" s="3">
        <v>2108</v>
      </c>
      <c r="S56" s="3">
        <v>2532</v>
      </c>
      <c r="T56" s="11">
        <v>4640</v>
      </c>
    </row>
    <row r="57" spans="1:20" x14ac:dyDescent="0.25">
      <c r="A57" s="1" t="s">
        <v>112</v>
      </c>
      <c r="B57" s="2">
        <v>44547</v>
      </c>
      <c r="C57">
        <v>17</v>
      </c>
      <c r="D57" t="s">
        <v>20</v>
      </c>
      <c r="E57">
        <v>2021</v>
      </c>
      <c r="F57">
        <v>31</v>
      </c>
      <c r="G57" s="9" t="s">
        <v>36</v>
      </c>
      <c r="H57" t="s">
        <v>29</v>
      </c>
      <c r="I57" s="12" t="s">
        <v>37</v>
      </c>
      <c r="J57" t="s">
        <v>38</v>
      </c>
      <c r="K57" t="s">
        <v>25</v>
      </c>
      <c r="L57" t="s">
        <v>26</v>
      </c>
      <c r="M57" t="s">
        <v>39</v>
      </c>
      <c r="N57">
        <v>1</v>
      </c>
      <c r="O57">
        <v>1</v>
      </c>
      <c r="P57" s="3">
        <v>420</v>
      </c>
      <c r="Q57" s="3">
        <v>769</v>
      </c>
      <c r="R57" s="3">
        <v>349</v>
      </c>
      <c r="S57" s="3">
        <v>420</v>
      </c>
      <c r="T57" s="11">
        <v>769</v>
      </c>
    </row>
    <row r="58" spans="1:20" x14ac:dyDescent="0.25">
      <c r="A58" s="1" t="s">
        <v>113</v>
      </c>
      <c r="B58" s="2">
        <v>44547</v>
      </c>
      <c r="C58">
        <v>17</v>
      </c>
      <c r="D58" t="s">
        <v>20</v>
      </c>
      <c r="E58">
        <v>2021</v>
      </c>
      <c r="F58">
        <v>42</v>
      </c>
      <c r="G58" s="9" t="s">
        <v>21</v>
      </c>
      <c r="H58" t="s">
        <v>22</v>
      </c>
      <c r="I58" s="12" t="s">
        <v>49</v>
      </c>
      <c r="J58" t="s">
        <v>50</v>
      </c>
      <c r="K58" t="s">
        <v>25</v>
      </c>
      <c r="L58" t="s">
        <v>26</v>
      </c>
      <c r="M58" t="s">
        <v>110</v>
      </c>
      <c r="N58">
        <v>1</v>
      </c>
      <c r="O58">
        <v>1</v>
      </c>
      <c r="P58" s="3">
        <v>1266</v>
      </c>
      <c r="Q58" s="3">
        <v>2320</v>
      </c>
      <c r="R58" s="3">
        <v>1054</v>
      </c>
      <c r="S58" s="3">
        <v>1266</v>
      </c>
      <c r="T58" s="11">
        <v>2320</v>
      </c>
    </row>
    <row r="59" spans="1:20" x14ac:dyDescent="0.25">
      <c r="A59" s="1" t="s">
        <v>114</v>
      </c>
      <c r="B59" s="2">
        <v>44548</v>
      </c>
      <c r="C59">
        <v>18</v>
      </c>
      <c r="D59" t="s">
        <v>20</v>
      </c>
      <c r="E59">
        <v>2021</v>
      </c>
      <c r="F59">
        <v>35</v>
      </c>
      <c r="G59" s="9" t="s">
        <v>21</v>
      </c>
      <c r="H59" t="s">
        <v>22</v>
      </c>
      <c r="I59" s="12" t="s">
        <v>37</v>
      </c>
      <c r="J59" t="s">
        <v>38</v>
      </c>
      <c r="K59" t="s">
        <v>25</v>
      </c>
      <c r="L59" t="s">
        <v>26</v>
      </c>
      <c r="M59" t="s">
        <v>66</v>
      </c>
      <c r="N59">
        <v>4</v>
      </c>
      <c r="O59">
        <v>4</v>
      </c>
      <c r="P59" s="3">
        <v>308</v>
      </c>
      <c r="Q59" s="3">
        <v>565</v>
      </c>
      <c r="R59" s="3">
        <v>1028</v>
      </c>
      <c r="S59" s="3">
        <v>1232</v>
      </c>
      <c r="T59" s="11">
        <v>2260</v>
      </c>
    </row>
    <row r="60" spans="1:20" x14ac:dyDescent="0.25">
      <c r="A60" s="1" t="s">
        <v>115</v>
      </c>
      <c r="B60" s="2">
        <v>44548</v>
      </c>
      <c r="C60">
        <v>18</v>
      </c>
      <c r="D60" t="s">
        <v>20</v>
      </c>
      <c r="E60">
        <v>2021</v>
      </c>
      <c r="F60">
        <v>38</v>
      </c>
      <c r="G60" s="9" t="s">
        <v>21</v>
      </c>
      <c r="H60" t="s">
        <v>22</v>
      </c>
      <c r="I60" s="12" t="s">
        <v>49</v>
      </c>
      <c r="J60" t="s">
        <v>50</v>
      </c>
      <c r="K60" t="s">
        <v>25</v>
      </c>
      <c r="L60" t="s">
        <v>26</v>
      </c>
      <c r="M60" t="s">
        <v>110</v>
      </c>
      <c r="N60">
        <v>4</v>
      </c>
      <c r="O60">
        <v>4</v>
      </c>
      <c r="P60" s="3">
        <v>1266</v>
      </c>
      <c r="Q60" s="3">
        <v>2320</v>
      </c>
      <c r="R60" s="3">
        <v>4216</v>
      </c>
      <c r="S60" s="3">
        <v>5064</v>
      </c>
      <c r="T60" s="11">
        <v>9280</v>
      </c>
    </row>
    <row r="61" spans="1:20" x14ac:dyDescent="0.25">
      <c r="A61" s="1" t="s">
        <v>116</v>
      </c>
      <c r="B61" s="2">
        <v>44548</v>
      </c>
      <c r="C61">
        <v>18</v>
      </c>
      <c r="D61" t="s">
        <v>20</v>
      </c>
      <c r="E61">
        <v>2021</v>
      </c>
      <c r="F61">
        <v>24</v>
      </c>
      <c r="G61" s="9" t="s">
        <v>42</v>
      </c>
      <c r="H61" t="s">
        <v>22</v>
      </c>
      <c r="I61" s="12" t="s">
        <v>86</v>
      </c>
      <c r="J61" t="s">
        <v>117</v>
      </c>
      <c r="K61" t="s">
        <v>25</v>
      </c>
      <c r="L61" t="s">
        <v>26</v>
      </c>
      <c r="M61" t="s">
        <v>53</v>
      </c>
      <c r="N61">
        <v>3</v>
      </c>
      <c r="O61">
        <v>3</v>
      </c>
      <c r="P61" s="3">
        <v>1266</v>
      </c>
      <c r="Q61" s="3">
        <v>2320</v>
      </c>
      <c r="R61" s="3">
        <v>3162</v>
      </c>
      <c r="S61" s="3">
        <v>3798</v>
      </c>
      <c r="T61" s="11">
        <v>6960</v>
      </c>
    </row>
    <row r="62" spans="1:20" x14ac:dyDescent="0.25">
      <c r="A62" s="1" t="s">
        <v>118</v>
      </c>
      <c r="B62" s="2">
        <v>44548</v>
      </c>
      <c r="C62">
        <v>18</v>
      </c>
      <c r="D62" t="s">
        <v>20</v>
      </c>
      <c r="E62">
        <v>2021</v>
      </c>
      <c r="F62">
        <v>26</v>
      </c>
      <c r="G62" s="9" t="s">
        <v>36</v>
      </c>
      <c r="H62" t="s">
        <v>22</v>
      </c>
      <c r="I62" s="12" t="s">
        <v>30</v>
      </c>
      <c r="J62" t="s">
        <v>31</v>
      </c>
      <c r="K62" t="s">
        <v>25</v>
      </c>
      <c r="L62" t="s">
        <v>26</v>
      </c>
      <c r="M62" t="s">
        <v>39</v>
      </c>
      <c r="N62">
        <v>3</v>
      </c>
      <c r="O62">
        <v>3</v>
      </c>
      <c r="P62" s="3">
        <v>420</v>
      </c>
      <c r="Q62" s="3">
        <v>769</v>
      </c>
      <c r="R62" s="3">
        <v>1047</v>
      </c>
      <c r="S62" s="3">
        <v>1260</v>
      </c>
      <c r="T62" s="11">
        <v>2307</v>
      </c>
    </row>
    <row r="63" spans="1:20" x14ac:dyDescent="0.25">
      <c r="A63" s="1" t="s">
        <v>119</v>
      </c>
      <c r="B63" s="2">
        <v>44548</v>
      </c>
      <c r="C63">
        <v>18</v>
      </c>
      <c r="D63" t="s">
        <v>20</v>
      </c>
      <c r="E63">
        <v>2021</v>
      </c>
      <c r="F63">
        <v>39</v>
      </c>
      <c r="G63" s="9" t="s">
        <v>21</v>
      </c>
      <c r="H63" t="s">
        <v>29</v>
      </c>
      <c r="I63" s="12" t="s">
        <v>23</v>
      </c>
      <c r="J63" t="s">
        <v>24</v>
      </c>
      <c r="K63" t="s">
        <v>25</v>
      </c>
      <c r="L63" t="s">
        <v>26</v>
      </c>
      <c r="M63" t="s">
        <v>60</v>
      </c>
      <c r="N63">
        <v>3</v>
      </c>
      <c r="O63">
        <v>3</v>
      </c>
      <c r="P63" s="3">
        <v>1252</v>
      </c>
      <c r="Q63" s="3">
        <v>2295</v>
      </c>
      <c r="R63" s="3">
        <v>3129</v>
      </c>
      <c r="S63" s="3">
        <v>3756</v>
      </c>
      <c r="T63" s="11">
        <v>6885</v>
      </c>
    </row>
    <row r="64" spans="1:20" x14ac:dyDescent="0.25">
      <c r="A64" s="1" t="s">
        <v>120</v>
      </c>
      <c r="B64" s="2">
        <v>44548</v>
      </c>
      <c r="C64">
        <v>18</v>
      </c>
      <c r="D64" t="s">
        <v>20</v>
      </c>
      <c r="E64">
        <v>2021</v>
      </c>
      <c r="F64">
        <v>26</v>
      </c>
      <c r="G64" s="9" t="s">
        <v>36</v>
      </c>
      <c r="H64" t="s">
        <v>29</v>
      </c>
      <c r="I64" s="12" t="s">
        <v>86</v>
      </c>
      <c r="J64" t="s">
        <v>87</v>
      </c>
      <c r="K64" t="s">
        <v>25</v>
      </c>
      <c r="L64" t="s">
        <v>26</v>
      </c>
      <c r="M64" t="s">
        <v>27</v>
      </c>
      <c r="N64">
        <v>1</v>
      </c>
      <c r="O64">
        <v>1</v>
      </c>
      <c r="P64" s="3">
        <v>1252</v>
      </c>
      <c r="Q64" s="3">
        <v>2295</v>
      </c>
      <c r="R64" s="3">
        <v>1043</v>
      </c>
      <c r="S64" s="3">
        <v>1252</v>
      </c>
      <c r="T64" s="11">
        <v>2295</v>
      </c>
    </row>
    <row r="65" spans="1:20" x14ac:dyDescent="0.25">
      <c r="A65" s="1" t="s">
        <v>121</v>
      </c>
      <c r="B65" s="2">
        <v>44548</v>
      </c>
      <c r="C65">
        <v>18</v>
      </c>
      <c r="D65" t="s">
        <v>20</v>
      </c>
      <c r="E65">
        <v>2021</v>
      </c>
      <c r="F65">
        <v>36</v>
      </c>
      <c r="G65" s="9" t="s">
        <v>21</v>
      </c>
      <c r="H65" t="s">
        <v>29</v>
      </c>
      <c r="I65" s="12" t="s">
        <v>23</v>
      </c>
      <c r="J65" t="s">
        <v>45</v>
      </c>
      <c r="K65" t="s">
        <v>25</v>
      </c>
      <c r="L65" t="s">
        <v>26</v>
      </c>
      <c r="M65" t="s">
        <v>53</v>
      </c>
      <c r="N65">
        <v>1</v>
      </c>
      <c r="O65">
        <v>1</v>
      </c>
      <c r="P65" s="3">
        <v>1266</v>
      </c>
      <c r="Q65" s="3">
        <v>2320</v>
      </c>
      <c r="R65" s="3">
        <v>1054</v>
      </c>
      <c r="S65" s="3">
        <v>1266</v>
      </c>
      <c r="T65" s="11">
        <v>2320</v>
      </c>
    </row>
    <row r="66" spans="1:20" x14ac:dyDescent="0.25">
      <c r="A66" s="1" t="s">
        <v>122</v>
      </c>
      <c r="B66" s="2">
        <v>44549</v>
      </c>
      <c r="C66">
        <v>19</v>
      </c>
      <c r="D66" t="s">
        <v>20</v>
      </c>
      <c r="E66">
        <v>2021</v>
      </c>
      <c r="F66">
        <v>17</v>
      </c>
      <c r="G66" s="9" t="s">
        <v>42</v>
      </c>
      <c r="H66" t="s">
        <v>29</v>
      </c>
      <c r="I66" s="12" t="s">
        <v>86</v>
      </c>
      <c r="J66" t="s">
        <v>123</v>
      </c>
      <c r="K66" t="s">
        <v>25</v>
      </c>
      <c r="L66" t="s">
        <v>26</v>
      </c>
      <c r="M66" t="s">
        <v>110</v>
      </c>
      <c r="N66">
        <v>4</v>
      </c>
      <c r="O66">
        <v>4</v>
      </c>
      <c r="P66" s="3">
        <v>1266</v>
      </c>
      <c r="Q66" s="3">
        <v>2320</v>
      </c>
      <c r="R66" s="3">
        <v>4216</v>
      </c>
      <c r="S66" s="3">
        <v>5064</v>
      </c>
      <c r="T66" s="11">
        <v>9280</v>
      </c>
    </row>
    <row r="67" spans="1:20" x14ac:dyDescent="0.25">
      <c r="A67" s="1" t="s">
        <v>124</v>
      </c>
      <c r="B67" s="2">
        <v>44549</v>
      </c>
      <c r="C67">
        <v>19</v>
      </c>
      <c r="D67" t="s">
        <v>20</v>
      </c>
      <c r="E67">
        <v>2021</v>
      </c>
      <c r="F67">
        <v>19</v>
      </c>
      <c r="G67" s="9" t="s">
        <v>42</v>
      </c>
      <c r="H67" t="s">
        <v>22</v>
      </c>
      <c r="I67" s="12" t="s">
        <v>37</v>
      </c>
      <c r="J67" t="s">
        <v>73</v>
      </c>
      <c r="K67" t="s">
        <v>25</v>
      </c>
      <c r="L67" t="s">
        <v>26</v>
      </c>
      <c r="M67" t="s">
        <v>125</v>
      </c>
      <c r="N67">
        <v>4</v>
      </c>
      <c r="O67">
        <v>4</v>
      </c>
      <c r="P67" s="3">
        <v>295</v>
      </c>
      <c r="Q67" s="3">
        <v>540</v>
      </c>
      <c r="R67" s="3">
        <v>980</v>
      </c>
      <c r="S67" s="3">
        <v>1180</v>
      </c>
      <c r="T67" s="11">
        <v>2160</v>
      </c>
    </row>
    <row r="68" spans="1:20" x14ac:dyDescent="0.25">
      <c r="A68" s="1" t="s">
        <v>126</v>
      </c>
      <c r="B68" s="2">
        <v>44549</v>
      </c>
      <c r="C68">
        <v>19</v>
      </c>
      <c r="D68" t="s">
        <v>20</v>
      </c>
      <c r="E68">
        <v>2021</v>
      </c>
      <c r="F68">
        <v>25</v>
      </c>
      <c r="G68" s="9" t="s">
        <v>36</v>
      </c>
      <c r="H68" t="s">
        <v>29</v>
      </c>
      <c r="I68" s="12" t="s">
        <v>86</v>
      </c>
      <c r="J68" t="s">
        <v>87</v>
      </c>
      <c r="K68" t="s">
        <v>25</v>
      </c>
      <c r="L68" t="s">
        <v>26</v>
      </c>
      <c r="M68" t="s">
        <v>43</v>
      </c>
      <c r="N68">
        <v>4</v>
      </c>
      <c r="O68">
        <v>4</v>
      </c>
      <c r="P68" s="3">
        <v>1252</v>
      </c>
      <c r="Q68" s="3">
        <v>2295</v>
      </c>
      <c r="R68" s="3">
        <v>4172</v>
      </c>
      <c r="S68" s="3">
        <v>5008</v>
      </c>
      <c r="T68" s="11">
        <v>9180</v>
      </c>
    </row>
    <row r="69" spans="1:20" x14ac:dyDescent="0.25">
      <c r="A69" s="1" t="s">
        <v>127</v>
      </c>
      <c r="B69" s="2">
        <v>44549</v>
      </c>
      <c r="C69">
        <v>19</v>
      </c>
      <c r="D69" t="s">
        <v>20</v>
      </c>
      <c r="E69">
        <v>2021</v>
      </c>
      <c r="F69">
        <v>35</v>
      </c>
      <c r="G69" s="9" t="s">
        <v>21</v>
      </c>
      <c r="H69" t="s">
        <v>22</v>
      </c>
      <c r="I69" s="12" t="s">
        <v>23</v>
      </c>
      <c r="J69" t="s">
        <v>69</v>
      </c>
      <c r="K69" t="s">
        <v>25</v>
      </c>
      <c r="L69" t="s">
        <v>26</v>
      </c>
      <c r="M69" t="s">
        <v>128</v>
      </c>
      <c r="N69">
        <v>4</v>
      </c>
      <c r="O69">
        <v>4</v>
      </c>
      <c r="P69" s="3">
        <v>1898</v>
      </c>
      <c r="Q69" s="3">
        <v>3375</v>
      </c>
      <c r="R69" s="3">
        <v>5908</v>
      </c>
      <c r="S69" s="3">
        <v>7592</v>
      </c>
      <c r="T69" s="11">
        <v>13500</v>
      </c>
    </row>
    <row r="70" spans="1:20" x14ac:dyDescent="0.25">
      <c r="A70" s="1" t="s">
        <v>129</v>
      </c>
      <c r="B70" s="2">
        <v>44549</v>
      </c>
      <c r="C70">
        <v>19</v>
      </c>
      <c r="D70" t="s">
        <v>20</v>
      </c>
      <c r="E70">
        <v>2021</v>
      </c>
      <c r="F70">
        <v>37</v>
      </c>
      <c r="G70" s="9" t="s">
        <v>21</v>
      </c>
      <c r="H70" t="s">
        <v>29</v>
      </c>
      <c r="I70" s="12" t="s">
        <v>23</v>
      </c>
      <c r="J70" t="s">
        <v>69</v>
      </c>
      <c r="K70" t="s">
        <v>25</v>
      </c>
      <c r="L70" t="s">
        <v>26</v>
      </c>
      <c r="M70" t="s">
        <v>43</v>
      </c>
      <c r="N70">
        <v>4</v>
      </c>
      <c r="O70">
        <v>4</v>
      </c>
      <c r="P70" s="3">
        <v>1252</v>
      </c>
      <c r="Q70" s="3">
        <v>2295</v>
      </c>
      <c r="R70" s="3">
        <v>4172</v>
      </c>
      <c r="S70" s="3">
        <v>5008</v>
      </c>
      <c r="T70" s="11">
        <v>9180</v>
      </c>
    </row>
    <row r="71" spans="1:20" x14ac:dyDescent="0.25">
      <c r="A71" s="1" t="s">
        <v>130</v>
      </c>
      <c r="B71" s="2">
        <v>44549</v>
      </c>
      <c r="C71">
        <v>19</v>
      </c>
      <c r="D71" t="s">
        <v>20</v>
      </c>
      <c r="E71">
        <v>2021</v>
      </c>
      <c r="F71">
        <v>39</v>
      </c>
      <c r="G71" s="9" t="s">
        <v>21</v>
      </c>
      <c r="H71" t="s">
        <v>22</v>
      </c>
      <c r="I71" s="12" t="s">
        <v>23</v>
      </c>
      <c r="J71" t="s">
        <v>24</v>
      </c>
      <c r="K71" t="s">
        <v>25</v>
      </c>
      <c r="L71" t="s">
        <v>26</v>
      </c>
      <c r="M71" t="s">
        <v>27</v>
      </c>
      <c r="N71">
        <v>4</v>
      </c>
      <c r="O71">
        <v>4</v>
      </c>
      <c r="P71" s="3">
        <v>1252</v>
      </c>
      <c r="Q71" s="3">
        <v>2295</v>
      </c>
      <c r="R71" s="3">
        <v>4172</v>
      </c>
      <c r="S71" s="3">
        <v>5008</v>
      </c>
      <c r="T71" s="11">
        <v>9180</v>
      </c>
    </row>
    <row r="72" spans="1:20" x14ac:dyDescent="0.25">
      <c r="A72" s="1" t="s">
        <v>131</v>
      </c>
      <c r="B72" s="2">
        <v>44549</v>
      </c>
      <c r="C72">
        <v>19</v>
      </c>
      <c r="D72" t="s">
        <v>20</v>
      </c>
      <c r="E72">
        <v>2021</v>
      </c>
      <c r="F72">
        <v>63</v>
      </c>
      <c r="G72" s="9" t="s">
        <v>21</v>
      </c>
      <c r="H72" t="s">
        <v>22</v>
      </c>
      <c r="I72" s="12" t="s">
        <v>37</v>
      </c>
      <c r="J72" t="s">
        <v>52</v>
      </c>
      <c r="K72" t="s">
        <v>25</v>
      </c>
      <c r="L72" t="s">
        <v>26</v>
      </c>
      <c r="M72" t="s">
        <v>27</v>
      </c>
      <c r="N72">
        <v>4</v>
      </c>
      <c r="O72">
        <v>4</v>
      </c>
      <c r="P72" s="3">
        <v>1252</v>
      </c>
      <c r="Q72" s="3">
        <v>2295</v>
      </c>
      <c r="R72" s="3">
        <v>4172</v>
      </c>
      <c r="S72" s="3">
        <v>5008</v>
      </c>
      <c r="T72" s="11">
        <v>9180</v>
      </c>
    </row>
    <row r="73" spans="1:20" x14ac:dyDescent="0.25">
      <c r="A73" s="1" t="s">
        <v>132</v>
      </c>
      <c r="B73" s="2">
        <v>44549</v>
      </c>
      <c r="C73">
        <v>19</v>
      </c>
      <c r="D73" t="s">
        <v>20</v>
      </c>
      <c r="E73">
        <v>2021</v>
      </c>
      <c r="F73">
        <v>18</v>
      </c>
      <c r="G73" s="9" t="s">
        <v>42</v>
      </c>
      <c r="H73" t="s">
        <v>29</v>
      </c>
      <c r="I73" s="12" t="s">
        <v>37</v>
      </c>
      <c r="J73" t="s">
        <v>133</v>
      </c>
      <c r="K73" t="s">
        <v>25</v>
      </c>
      <c r="L73" t="s">
        <v>26</v>
      </c>
      <c r="M73" t="s">
        <v>81</v>
      </c>
      <c r="N73">
        <v>2</v>
      </c>
      <c r="O73">
        <v>2</v>
      </c>
      <c r="P73" s="3">
        <v>295</v>
      </c>
      <c r="Q73" s="3">
        <v>540</v>
      </c>
      <c r="R73" s="3">
        <v>490</v>
      </c>
      <c r="S73" s="3">
        <v>590</v>
      </c>
      <c r="T73" s="11">
        <v>1080</v>
      </c>
    </row>
    <row r="74" spans="1:20" x14ac:dyDescent="0.25">
      <c r="A74" s="1" t="s">
        <v>134</v>
      </c>
      <c r="B74" s="2">
        <v>44549</v>
      </c>
      <c r="C74">
        <v>19</v>
      </c>
      <c r="D74" t="s">
        <v>20</v>
      </c>
      <c r="E74">
        <v>2021</v>
      </c>
      <c r="F74">
        <v>56</v>
      </c>
      <c r="G74" s="9" t="s">
        <v>21</v>
      </c>
      <c r="H74" t="s">
        <v>22</v>
      </c>
      <c r="I74" s="12" t="s">
        <v>49</v>
      </c>
      <c r="J74" t="s">
        <v>135</v>
      </c>
      <c r="K74" t="s">
        <v>25</v>
      </c>
      <c r="L74" t="s">
        <v>26</v>
      </c>
      <c r="M74" t="s">
        <v>27</v>
      </c>
      <c r="N74">
        <v>2</v>
      </c>
      <c r="O74">
        <v>2</v>
      </c>
      <c r="P74" s="3">
        <v>1252</v>
      </c>
      <c r="Q74" s="3">
        <v>2295</v>
      </c>
      <c r="R74" s="3">
        <v>2086</v>
      </c>
      <c r="S74" s="3">
        <v>2504</v>
      </c>
      <c r="T74" s="11">
        <v>4590</v>
      </c>
    </row>
    <row r="75" spans="1:20" x14ac:dyDescent="0.25">
      <c r="A75" s="1" t="s">
        <v>136</v>
      </c>
      <c r="B75" s="2">
        <v>44549</v>
      </c>
      <c r="C75">
        <v>19</v>
      </c>
      <c r="D75" t="s">
        <v>20</v>
      </c>
      <c r="E75">
        <v>2021</v>
      </c>
      <c r="F75">
        <v>39</v>
      </c>
      <c r="G75" s="9" t="s">
        <v>21</v>
      </c>
      <c r="H75" t="s">
        <v>22</v>
      </c>
      <c r="I75" s="12" t="s">
        <v>23</v>
      </c>
      <c r="J75" t="s">
        <v>45</v>
      </c>
      <c r="K75" t="s">
        <v>25</v>
      </c>
      <c r="L75" t="s">
        <v>26</v>
      </c>
      <c r="M75" t="s">
        <v>53</v>
      </c>
      <c r="N75">
        <v>1</v>
      </c>
      <c r="O75">
        <v>1</v>
      </c>
      <c r="P75" s="3">
        <v>1266</v>
      </c>
      <c r="Q75" s="3">
        <v>2320</v>
      </c>
      <c r="R75" s="3">
        <v>1054</v>
      </c>
      <c r="S75" s="3">
        <v>1266</v>
      </c>
      <c r="T75" s="11">
        <v>2320</v>
      </c>
    </row>
    <row r="76" spans="1:20" x14ac:dyDescent="0.25">
      <c r="A76" s="1" t="s">
        <v>137</v>
      </c>
      <c r="B76" s="2">
        <v>44550</v>
      </c>
      <c r="C76">
        <v>20</v>
      </c>
      <c r="D76" t="s">
        <v>20</v>
      </c>
      <c r="E76">
        <v>2021</v>
      </c>
      <c r="F76">
        <v>33</v>
      </c>
      <c r="G76" s="9" t="s">
        <v>36</v>
      </c>
      <c r="H76" t="s">
        <v>22</v>
      </c>
      <c r="I76" s="12" t="s">
        <v>37</v>
      </c>
      <c r="J76" t="s">
        <v>73</v>
      </c>
      <c r="K76" t="s">
        <v>25</v>
      </c>
      <c r="L76" t="s">
        <v>26</v>
      </c>
      <c r="M76" t="s">
        <v>74</v>
      </c>
      <c r="N76">
        <v>4</v>
      </c>
      <c r="O76">
        <v>4</v>
      </c>
      <c r="P76" s="3">
        <v>1898</v>
      </c>
      <c r="Q76" s="3">
        <v>3375</v>
      </c>
      <c r="R76" s="3">
        <v>5908</v>
      </c>
      <c r="S76" s="3">
        <v>7592</v>
      </c>
      <c r="T76" s="11">
        <v>13500</v>
      </c>
    </row>
    <row r="77" spans="1:20" x14ac:dyDescent="0.25">
      <c r="A77" s="1" t="s">
        <v>138</v>
      </c>
      <c r="B77" s="2">
        <v>44550</v>
      </c>
      <c r="C77">
        <v>20</v>
      </c>
      <c r="D77" t="s">
        <v>20</v>
      </c>
      <c r="E77">
        <v>2021</v>
      </c>
      <c r="F77">
        <v>57</v>
      </c>
      <c r="G77" s="9" t="s">
        <v>21</v>
      </c>
      <c r="H77" t="s">
        <v>29</v>
      </c>
      <c r="I77" s="12" t="s">
        <v>37</v>
      </c>
      <c r="J77" t="s">
        <v>52</v>
      </c>
      <c r="K77" t="s">
        <v>25</v>
      </c>
      <c r="L77" t="s">
        <v>26</v>
      </c>
      <c r="M77" t="s">
        <v>27</v>
      </c>
      <c r="N77">
        <v>4</v>
      </c>
      <c r="O77">
        <v>4</v>
      </c>
      <c r="P77" s="3">
        <v>1252</v>
      </c>
      <c r="Q77" s="3">
        <v>2295</v>
      </c>
      <c r="R77" s="3">
        <v>4172</v>
      </c>
      <c r="S77" s="3">
        <v>5008</v>
      </c>
      <c r="T77" s="11">
        <v>9180</v>
      </c>
    </row>
    <row r="78" spans="1:20" x14ac:dyDescent="0.25">
      <c r="A78" s="1" t="s">
        <v>139</v>
      </c>
      <c r="B78" s="2">
        <v>44550</v>
      </c>
      <c r="C78">
        <v>20</v>
      </c>
      <c r="D78" t="s">
        <v>20</v>
      </c>
      <c r="E78">
        <v>2021</v>
      </c>
      <c r="F78">
        <v>29</v>
      </c>
      <c r="G78" s="9" t="s">
        <v>36</v>
      </c>
      <c r="H78" t="s">
        <v>29</v>
      </c>
      <c r="I78" s="12" t="s">
        <v>57</v>
      </c>
      <c r="J78" t="s">
        <v>58</v>
      </c>
      <c r="K78" t="s">
        <v>25</v>
      </c>
      <c r="L78" t="s">
        <v>26</v>
      </c>
      <c r="M78" t="s">
        <v>140</v>
      </c>
      <c r="N78">
        <v>3</v>
      </c>
      <c r="O78">
        <v>3</v>
      </c>
      <c r="P78" s="3">
        <v>295</v>
      </c>
      <c r="Q78" s="3">
        <v>540</v>
      </c>
      <c r="R78" s="3">
        <v>735</v>
      </c>
      <c r="S78" s="3">
        <v>885</v>
      </c>
      <c r="T78" s="11">
        <v>1620</v>
      </c>
    </row>
    <row r="79" spans="1:20" x14ac:dyDescent="0.25">
      <c r="A79" s="1" t="s">
        <v>141</v>
      </c>
      <c r="B79" s="2">
        <v>44550</v>
      </c>
      <c r="C79">
        <v>20</v>
      </c>
      <c r="D79" t="s">
        <v>20</v>
      </c>
      <c r="E79">
        <v>2021</v>
      </c>
      <c r="F79">
        <v>35</v>
      </c>
      <c r="G79" s="9" t="s">
        <v>21</v>
      </c>
      <c r="H79" t="s">
        <v>22</v>
      </c>
      <c r="I79" s="12" t="s">
        <v>37</v>
      </c>
      <c r="J79" t="s">
        <v>52</v>
      </c>
      <c r="K79" t="s">
        <v>25</v>
      </c>
      <c r="L79" t="s">
        <v>26</v>
      </c>
      <c r="M79" t="s">
        <v>53</v>
      </c>
      <c r="N79">
        <v>1</v>
      </c>
      <c r="O79">
        <v>1</v>
      </c>
      <c r="P79" s="3">
        <v>1266</v>
      </c>
      <c r="Q79" s="3">
        <v>2320</v>
      </c>
      <c r="R79" s="3">
        <v>1054</v>
      </c>
      <c r="S79" s="3">
        <v>1266</v>
      </c>
      <c r="T79" s="11">
        <v>2320</v>
      </c>
    </row>
    <row r="80" spans="1:20" x14ac:dyDescent="0.25">
      <c r="A80" s="1" t="s">
        <v>142</v>
      </c>
      <c r="B80" s="2">
        <v>44550</v>
      </c>
      <c r="C80">
        <v>20</v>
      </c>
      <c r="D80" t="s">
        <v>20</v>
      </c>
      <c r="E80">
        <v>2021</v>
      </c>
      <c r="F80">
        <v>35</v>
      </c>
      <c r="G80" s="9" t="s">
        <v>21</v>
      </c>
      <c r="H80" t="s">
        <v>29</v>
      </c>
      <c r="I80" s="12" t="s">
        <v>37</v>
      </c>
      <c r="J80" t="s">
        <v>73</v>
      </c>
      <c r="K80" t="s">
        <v>25</v>
      </c>
      <c r="L80" t="s">
        <v>26</v>
      </c>
      <c r="M80" t="s">
        <v>53</v>
      </c>
      <c r="N80">
        <v>1</v>
      </c>
      <c r="O80">
        <v>1</v>
      </c>
      <c r="P80" s="3">
        <v>1266</v>
      </c>
      <c r="Q80" s="3">
        <v>2320</v>
      </c>
      <c r="R80" s="3">
        <v>1054</v>
      </c>
      <c r="S80" s="3">
        <v>1266</v>
      </c>
      <c r="T80" s="11">
        <v>2320</v>
      </c>
    </row>
    <row r="81" spans="1:20" x14ac:dyDescent="0.25">
      <c r="A81" s="1" t="s">
        <v>143</v>
      </c>
      <c r="B81" s="2">
        <v>44551</v>
      </c>
      <c r="C81">
        <v>21</v>
      </c>
      <c r="D81" t="s">
        <v>20</v>
      </c>
      <c r="E81">
        <v>2021</v>
      </c>
      <c r="F81">
        <v>26</v>
      </c>
      <c r="G81" s="9" t="s">
        <v>36</v>
      </c>
      <c r="H81" t="s">
        <v>29</v>
      </c>
      <c r="I81" s="12" t="s">
        <v>86</v>
      </c>
      <c r="J81" t="s">
        <v>144</v>
      </c>
      <c r="K81" t="s">
        <v>25</v>
      </c>
      <c r="L81" t="s">
        <v>26</v>
      </c>
      <c r="M81" t="s">
        <v>53</v>
      </c>
      <c r="N81">
        <v>3</v>
      </c>
      <c r="O81">
        <v>3</v>
      </c>
      <c r="P81" s="3">
        <v>1266</v>
      </c>
      <c r="Q81" s="3">
        <v>2320</v>
      </c>
      <c r="R81" s="3">
        <v>3162</v>
      </c>
      <c r="S81" s="3">
        <v>3798</v>
      </c>
      <c r="T81" s="11">
        <v>6960</v>
      </c>
    </row>
    <row r="82" spans="1:20" x14ac:dyDescent="0.25">
      <c r="A82" s="1" t="s">
        <v>145</v>
      </c>
      <c r="B82" s="2">
        <v>44551</v>
      </c>
      <c r="C82">
        <v>21</v>
      </c>
      <c r="D82" t="s">
        <v>20</v>
      </c>
      <c r="E82">
        <v>2021</v>
      </c>
      <c r="F82">
        <v>23</v>
      </c>
      <c r="G82" s="9" t="s">
        <v>42</v>
      </c>
      <c r="H82" t="s">
        <v>29</v>
      </c>
      <c r="I82" s="12" t="s">
        <v>30</v>
      </c>
      <c r="J82" t="s">
        <v>31</v>
      </c>
      <c r="K82" t="s">
        <v>25</v>
      </c>
      <c r="L82" t="s">
        <v>26</v>
      </c>
      <c r="M82" t="s">
        <v>34</v>
      </c>
      <c r="N82">
        <v>2</v>
      </c>
      <c r="O82">
        <v>2</v>
      </c>
      <c r="P82" s="3">
        <v>420</v>
      </c>
      <c r="Q82" s="3">
        <v>769</v>
      </c>
      <c r="R82" s="3">
        <v>698</v>
      </c>
      <c r="S82" s="3">
        <v>840</v>
      </c>
      <c r="T82" s="11">
        <v>1538</v>
      </c>
    </row>
    <row r="83" spans="1:20" x14ac:dyDescent="0.25">
      <c r="A83" s="1" t="s">
        <v>146</v>
      </c>
      <c r="B83" s="2">
        <v>44552</v>
      </c>
      <c r="C83">
        <v>22</v>
      </c>
      <c r="D83" t="s">
        <v>20</v>
      </c>
      <c r="E83">
        <v>2021</v>
      </c>
      <c r="F83">
        <v>30</v>
      </c>
      <c r="G83" s="9" t="s">
        <v>36</v>
      </c>
      <c r="H83" t="s">
        <v>22</v>
      </c>
      <c r="I83" s="12" t="s">
        <v>23</v>
      </c>
      <c r="J83" t="s">
        <v>45</v>
      </c>
      <c r="K83" t="s">
        <v>25</v>
      </c>
      <c r="L83" t="s">
        <v>26</v>
      </c>
      <c r="M83" t="s">
        <v>53</v>
      </c>
      <c r="N83">
        <v>3</v>
      </c>
      <c r="O83">
        <v>3</v>
      </c>
      <c r="P83" s="3">
        <v>1266</v>
      </c>
      <c r="Q83" s="3">
        <v>2320</v>
      </c>
      <c r="R83" s="3">
        <v>3162</v>
      </c>
      <c r="S83" s="3">
        <v>3798</v>
      </c>
      <c r="T83" s="11">
        <v>6960</v>
      </c>
    </row>
    <row r="84" spans="1:20" x14ac:dyDescent="0.25">
      <c r="A84" s="1" t="s">
        <v>147</v>
      </c>
      <c r="B84" s="2">
        <v>44552</v>
      </c>
      <c r="C84">
        <v>22</v>
      </c>
      <c r="D84" t="s">
        <v>20</v>
      </c>
      <c r="E84">
        <v>2021</v>
      </c>
      <c r="F84">
        <v>41</v>
      </c>
      <c r="G84" s="9" t="s">
        <v>21</v>
      </c>
      <c r="H84" t="s">
        <v>29</v>
      </c>
      <c r="I84" s="12" t="s">
        <v>23</v>
      </c>
      <c r="J84" t="s">
        <v>24</v>
      </c>
      <c r="K84" t="s">
        <v>25</v>
      </c>
      <c r="L84" t="s">
        <v>26</v>
      </c>
      <c r="M84" t="s">
        <v>60</v>
      </c>
      <c r="N84">
        <v>3</v>
      </c>
      <c r="O84">
        <v>3</v>
      </c>
      <c r="P84" s="3">
        <v>1252</v>
      </c>
      <c r="Q84" s="3">
        <v>2295</v>
      </c>
      <c r="R84" s="3">
        <v>3129</v>
      </c>
      <c r="S84" s="3">
        <v>3756</v>
      </c>
      <c r="T84" s="11">
        <v>6885</v>
      </c>
    </row>
    <row r="85" spans="1:20" x14ac:dyDescent="0.25">
      <c r="A85" s="1" t="s">
        <v>148</v>
      </c>
      <c r="B85" s="2">
        <v>44552</v>
      </c>
      <c r="C85">
        <v>22</v>
      </c>
      <c r="D85" t="s">
        <v>20</v>
      </c>
      <c r="E85">
        <v>2021</v>
      </c>
      <c r="F85">
        <v>19</v>
      </c>
      <c r="G85" s="9" t="s">
        <v>42</v>
      </c>
      <c r="H85" t="s">
        <v>22</v>
      </c>
      <c r="I85" s="12" t="s">
        <v>37</v>
      </c>
      <c r="J85" t="s">
        <v>38</v>
      </c>
      <c r="K85" t="s">
        <v>25</v>
      </c>
      <c r="L85" t="s">
        <v>26</v>
      </c>
      <c r="M85" t="s">
        <v>66</v>
      </c>
      <c r="N85">
        <v>1</v>
      </c>
      <c r="O85">
        <v>1</v>
      </c>
      <c r="P85" s="3">
        <v>308</v>
      </c>
      <c r="Q85" s="3">
        <v>565</v>
      </c>
      <c r="R85" s="3">
        <v>257</v>
      </c>
      <c r="S85" s="3">
        <v>308</v>
      </c>
      <c r="T85" s="11">
        <v>565</v>
      </c>
    </row>
    <row r="86" spans="1:20" x14ac:dyDescent="0.25">
      <c r="A86" s="1" t="s">
        <v>149</v>
      </c>
      <c r="B86" s="2">
        <v>44552</v>
      </c>
      <c r="C86">
        <v>22</v>
      </c>
      <c r="D86" t="s">
        <v>20</v>
      </c>
      <c r="E86">
        <v>2021</v>
      </c>
      <c r="F86">
        <v>25</v>
      </c>
      <c r="G86" s="9" t="s">
        <v>36</v>
      </c>
      <c r="H86" t="s">
        <v>29</v>
      </c>
      <c r="I86" s="12" t="s">
        <v>86</v>
      </c>
      <c r="J86" t="s">
        <v>87</v>
      </c>
      <c r="K86" t="s">
        <v>25</v>
      </c>
      <c r="L86" t="s">
        <v>26</v>
      </c>
      <c r="M86" t="s">
        <v>43</v>
      </c>
      <c r="N86">
        <v>1</v>
      </c>
      <c r="O86">
        <v>1</v>
      </c>
      <c r="P86" s="3">
        <v>1252</v>
      </c>
      <c r="Q86" s="3">
        <v>2295</v>
      </c>
      <c r="R86" s="3">
        <v>1043</v>
      </c>
      <c r="S86" s="3">
        <v>1252</v>
      </c>
      <c r="T86" s="11">
        <v>2295</v>
      </c>
    </row>
    <row r="87" spans="1:20" x14ac:dyDescent="0.25">
      <c r="A87" s="1" t="s">
        <v>150</v>
      </c>
      <c r="B87" s="2">
        <v>44552</v>
      </c>
      <c r="C87">
        <v>22</v>
      </c>
      <c r="D87" t="s">
        <v>20</v>
      </c>
      <c r="E87">
        <v>2021</v>
      </c>
      <c r="F87">
        <v>27</v>
      </c>
      <c r="G87" s="9" t="s">
        <v>36</v>
      </c>
      <c r="H87" t="s">
        <v>22</v>
      </c>
      <c r="I87" s="12" t="s">
        <v>57</v>
      </c>
      <c r="J87" t="s">
        <v>58</v>
      </c>
      <c r="K87" t="s">
        <v>25</v>
      </c>
      <c r="L87" t="s">
        <v>26</v>
      </c>
      <c r="M87" t="s">
        <v>27</v>
      </c>
      <c r="N87">
        <v>1</v>
      </c>
      <c r="O87">
        <v>1</v>
      </c>
      <c r="P87" s="3">
        <v>1252</v>
      </c>
      <c r="Q87" s="3">
        <v>2295</v>
      </c>
      <c r="R87" s="3">
        <v>1043</v>
      </c>
      <c r="S87" s="3">
        <v>1252</v>
      </c>
      <c r="T87" s="11">
        <v>2295</v>
      </c>
    </row>
    <row r="88" spans="1:20" x14ac:dyDescent="0.25">
      <c r="A88" s="1" t="s">
        <v>151</v>
      </c>
      <c r="B88" s="2">
        <v>44552</v>
      </c>
      <c r="C88">
        <v>22</v>
      </c>
      <c r="D88" t="s">
        <v>20</v>
      </c>
      <c r="E88">
        <v>2021</v>
      </c>
      <c r="F88">
        <v>41</v>
      </c>
      <c r="G88" s="9" t="s">
        <v>21</v>
      </c>
      <c r="H88" t="s">
        <v>29</v>
      </c>
      <c r="I88" s="12" t="s">
        <v>49</v>
      </c>
      <c r="J88" t="s">
        <v>135</v>
      </c>
      <c r="K88" t="s">
        <v>25</v>
      </c>
      <c r="L88" t="s">
        <v>26</v>
      </c>
      <c r="M88" t="s">
        <v>53</v>
      </c>
      <c r="N88">
        <v>1</v>
      </c>
      <c r="O88">
        <v>1</v>
      </c>
      <c r="P88" s="3">
        <v>1266</v>
      </c>
      <c r="Q88" s="3">
        <v>2320</v>
      </c>
      <c r="R88" s="3">
        <v>1054</v>
      </c>
      <c r="S88" s="3">
        <v>1266</v>
      </c>
      <c r="T88" s="11">
        <v>2320</v>
      </c>
    </row>
    <row r="89" spans="1:20" x14ac:dyDescent="0.25">
      <c r="A89" s="1" t="s">
        <v>152</v>
      </c>
      <c r="B89" s="2">
        <v>44553</v>
      </c>
      <c r="C89">
        <v>23</v>
      </c>
      <c r="D89" t="s">
        <v>20</v>
      </c>
      <c r="E89">
        <v>2021</v>
      </c>
      <c r="F89">
        <v>30</v>
      </c>
      <c r="G89" s="9" t="s">
        <v>36</v>
      </c>
      <c r="H89" t="s">
        <v>22</v>
      </c>
      <c r="I89" s="12" t="s">
        <v>23</v>
      </c>
      <c r="J89" t="s">
        <v>69</v>
      </c>
      <c r="K89" t="s">
        <v>25</v>
      </c>
      <c r="L89" t="s">
        <v>26</v>
      </c>
      <c r="M89" t="s">
        <v>32</v>
      </c>
      <c r="N89">
        <v>1</v>
      </c>
      <c r="O89">
        <v>1</v>
      </c>
      <c r="P89" s="3">
        <v>1266</v>
      </c>
      <c r="Q89" s="3">
        <v>2320</v>
      </c>
      <c r="R89" s="3">
        <v>1054</v>
      </c>
      <c r="S89" s="3">
        <v>1266</v>
      </c>
      <c r="T89" s="11">
        <v>2320</v>
      </c>
    </row>
    <row r="90" spans="1:20" x14ac:dyDescent="0.25">
      <c r="A90" s="1" t="s">
        <v>153</v>
      </c>
      <c r="B90" s="2">
        <v>44553</v>
      </c>
      <c r="C90">
        <v>23</v>
      </c>
      <c r="D90" t="s">
        <v>20</v>
      </c>
      <c r="E90">
        <v>2021</v>
      </c>
      <c r="F90">
        <v>31</v>
      </c>
      <c r="G90" s="9" t="s">
        <v>36</v>
      </c>
      <c r="H90" t="s">
        <v>22</v>
      </c>
      <c r="I90" s="12" t="s">
        <v>57</v>
      </c>
      <c r="J90" t="s">
        <v>58</v>
      </c>
      <c r="K90" t="s">
        <v>25</v>
      </c>
      <c r="L90" t="s">
        <v>26</v>
      </c>
      <c r="M90" t="s">
        <v>60</v>
      </c>
      <c r="N90">
        <v>1</v>
      </c>
      <c r="O90">
        <v>1</v>
      </c>
      <c r="P90" s="3">
        <v>1252</v>
      </c>
      <c r="Q90" s="3">
        <v>2295</v>
      </c>
      <c r="R90" s="3">
        <v>1043</v>
      </c>
      <c r="S90" s="3">
        <v>1252</v>
      </c>
      <c r="T90" s="11">
        <v>2295</v>
      </c>
    </row>
    <row r="91" spans="1:20" x14ac:dyDescent="0.25">
      <c r="A91" s="1" t="s">
        <v>154</v>
      </c>
      <c r="B91" s="2">
        <v>44553</v>
      </c>
      <c r="C91">
        <v>23</v>
      </c>
      <c r="D91" t="s">
        <v>20</v>
      </c>
      <c r="E91">
        <v>2021</v>
      </c>
      <c r="F91">
        <v>35</v>
      </c>
      <c r="G91" s="9" t="s">
        <v>21</v>
      </c>
      <c r="H91" t="s">
        <v>22</v>
      </c>
      <c r="I91" s="12" t="s">
        <v>23</v>
      </c>
      <c r="J91" t="s">
        <v>24</v>
      </c>
      <c r="K91" t="s">
        <v>25</v>
      </c>
      <c r="L91" t="s">
        <v>26</v>
      </c>
      <c r="M91" t="s">
        <v>71</v>
      </c>
      <c r="N91">
        <v>1</v>
      </c>
      <c r="O91">
        <v>1</v>
      </c>
      <c r="P91" s="3">
        <v>295</v>
      </c>
      <c r="Q91" s="3">
        <v>540</v>
      </c>
      <c r="R91" s="3">
        <v>245</v>
      </c>
      <c r="S91" s="3">
        <v>295</v>
      </c>
      <c r="T91" s="11">
        <v>540</v>
      </c>
    </row>
    <row r="92" spans="1:20" x14ac:dyDescent="0.25">
      <c r="A92" s="1" t="s">
        <v>155</v>
      </c>
      <c r="B92" s="2">
        <v>44554</v>
      </c>
      <c r="C92">
        <v>24</v>
      </c>
      <c r="D92" t="s">
        <v>20</v>
      </c>
      <c r="E92">
        <v>2021</v>
      </c>
      <c r="F92">
        <v>38</v>
      </c>
      <c r="G92" s="9" t="s">
        <v>21</v>
      </c>
      <c r="H92" t="s">
        <v>29</v>
      </c>
      <c r="I92" s="12" t="s">
        <v>37</v>
      </c>
      <c r="J92" t="s">
        <v>52</v>
      </c>
      <c r="K92" t="s">
        <v>25</v>
      </c>
      <c r="L92" t="s">
        <v>26</v>
      </c>
      <c r="M92" t="s">
        <v>60</v>
      </c>
      <c r="N92">
        <v>4</v>
      </c>
      <c r="O92">
        <v>4</v>
      </c>
      <c r="P92" s="3">
        <v>1252</v>
      </c>
      <c r="Q92" s="3">
        <v>2295</v>
      </c>
      <c r="R92" s="3">
        <v>4172</v>
      </c>
      <c r="S92" s="3">
        <v>5008</v>
      </c>
      <c r="T92" s="11">
        <v>9180</v>
      </c>
    </row>
  </sheetData>
  <dataValidations count="2">
    <dataValidation type="list" allowBlank="1" showInputMessage="1" showErrorMessage="1" sqref="H2">
      <formula1>$V$5:$V$7</formula1>
    </dataValidation>
    <dataValidation type="list" allowBlank="1" showInputMessage="1" showErrorMessage="1" sqref="F2 D2">
      <formula1>$X$5:$X$10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713AD9-6B43-458A-8D52-B024B61D34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Basse</vt:lpstr>
      <vt:lpstr>Concatenar</vt:lpstr>
      <vt:lpstr>IZQ DER EXT</vt:lpstr>
      <vt:lpstr>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Alvarez C</dc:creator>
  <cp:lastModifiedBy>Marlon Alvarez C</cp:lastModifiedBy>
  <dcterms:created xsi:type="dcterms:W3CDTF">2026-06-06T20:00:21Z</dcterms:created>
  <dcterms:modified xsi:type="dcterms:W3CDTF">2026-06-06T22:37:24Z</dcterms:modified>
</cp:coreProperties>
</file>